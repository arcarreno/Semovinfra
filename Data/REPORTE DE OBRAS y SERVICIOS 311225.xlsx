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aranc\Documents\Portal_Transparencia_Presupustaria_V2\Semovinfra\Data\"/>
    </mc:Choice>
  </mc:AlternateContent>
  <xr:revisionPtr revIDLastSave="0" documentId="13_ncr:1_{FCBF34E6-1682-4CFD-A7EC-9DB3A8D5E03B}" xr6:coauthVersionLast="47" xr6:coauthVersionMax="47" xr10:uidLastSave="{00000000-0000-0000-0000-000000000000}"/>
  <bookViews>
    <workbookView xWindow="-28920" yWindow="-9630" windowWidth="29040" windowHeight="16440" tabRatio="647" activeTab="2" xr2:uid="{F5295227-05FF-4589-99AF-E3C56D0C1C3C}"/>
  </bookViews>
  <sheets>
    <sheet name="Hoja1" sheetId="3" r:id="rId1"/>
    <sheet name="Hoja2" sheetId="4" r:id="rId2"/>
    <sheet name="OBRA PUBLICA" sheetId="1" r:id="rId3"/>
    <sheet name="SERVICIOS" sheetId="2" r:id="rId4"/>
  </sheets>
  <definedNames>
    <definedName name="_xlnm._FilterDatabase" localSheetId="2" hidden="1">'OBRA PUBLICA'!$A$6:$V$76</definedName>
    <definedName name="_xlnm.Print_Area" localSheetId="2">'OBRA PUBLICA'!$A$1:$W$76</definedName>
    <definedName name="_xlnm.Print_Area" localSheetId="3">SERVICIOS!$A$1:$M$20</definedName>
    <definedName name="_xlnm.Print_Titles" localSheetId="2">'OBRA PUBLICA'!$1:$6</definedName>
    <definedName name="_xlnm.Print_Titles" localSheetId="3">SERVICIOS!$1:$6</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2" l="1"/>
  <c r="J8" i="2"/>
  <c r="J9" i="2"/>
  <c r="J10" i="2"/>
  <c r="J11" i="2"/>
  <c r="J12" i="2"/>
  <c r="J13" i="2"/>
  <c r="J14" i="2"/>
  <c r="J15" i="2"/>
  <c r="J16" i="2"/>
  <c r="J17" i="2"/>
  <c r="J18" i="2"/>
  <c r="J19" i="2"/>
  <c r="J21" i="2"/>
  <c r="I19" i="2"/>
  <c r="I21" i="2"/>
  <c r="H19" i="2"/>
  <c r="H21" i="2"/>
  <c r="G19" i="2"/>
  <c r="G21" i="2"/>
  <c r="F19" i="2"/>
  <c r="F21" i="2"/>
  <c r="K18" i="2"/>
  <c r="K17" i="2"/>
  <c r="K16" i="2"/>
  <c r="K15" i="2"/>
  <c r="K14" i="2"/>
  <c r="K13" i="2"/>
  <c r="K12" i="2"/>
  <c r="A9" i="2"/>
  <c r="A10" i="2"/>
  <c r="A11" i="2"/>
  <c r="A12" i="2"/>
  <c r="K11" i="2"/>
  <c r="K10" i="2"/>
  <c r="K9" i="2"/>
  <c r="K8" i="2"/>
  <c r="K7" i="2"/>
  <c r="N75" i="1"/>
  <c r="P75" i="1" s="1"/>
  <c r="N74" i="1"/>
  <c r="P74" i="1" s="1"/>
  <c r="Q43" i="1"/>
  <c r="P43" i="1"/>
  <c r="N73" i="1"/>
  <c r="P73" i="1" s="1"/>
  <c r="N57" i="1"/>
  <c r="Q57" i="1" s="1"/>
  <c r="A64" i="1"/>
  <c r="A65" i="1" s="1"/>
  <c r="A66" i="1" s="1"/>
  <c r="A67" i="1" s="1"/>
  <c r="A68" i="1" s="1"/>
  <c r="A69" i="1" s="1"/>
  <c r="A70" i="1" s="1"/>
  <c r="A71" i="1" s="1"/>
  <c r="A72" i="1" s="1"/>
  <c r="A73" i="1" s="1"/>
  <c r="A7" i="1"/>
  <c r="A8" i="1"/>
  <c r="A9" i="1" s="1"/>
  <c r="A10" i="1" s="1"/>
  <c r="A11" i="1" s="1"/>
  <c r="A12" i="1" s="1"/>
  <c r="A13" i="1" s="1"/>
  <c r="A14" i="1" s="1"/>
  <c r="A15" i="1" s="1"/>
  <c r="A16" i="1" s="1"/>
  <c r="N42" i="1"/>
  <c r="P42" i="1" s="1"/>
  <c r="N62" i="1"/>
  <c r="P62" i="1" s="1"/>
  <c r="N72" i="1"/>
  <c r="Q72" i="1" s="1"/>
  <c r="N61" i="1"/>
  <c r="P61" i="1" s="1"/>
  <c r="J76" i="1"/>
  <c r="N76" i="1"/>
  <c r="Q76" i="1" s="1"/>
  <c r="N53" i="1"/>
  <c r="Q53" i="1" s="1"/>
  <c r="N59" i="1"/>
  <c r="Q59" i="1" s="1"/>
  <c r="N60" i="1"/>
  <c r="P60" i="1" s="1"/>
  <c r="N70" i="1"/>
  <c r="Q70" i="1" s="1"/>
  <c r="N71" i="1"/>
  <c r="Q71" i="1" s="1"/>
  <c r="N48" i="1"/>
  <c r="Q48" i="1" s="1"/>
  <c r="N49" i="1"/>
  <c r="Q49" i="1" s="1"/>
  <c r="N38" i="1"/>
  <c r="P38" i="1" s="1"/>
  <c r="N40" i="1"/>
  <c r="P40" i="1" s="1"/>
  <c r="N41" i="1"/>
  <c r="P41" i="1" s="1"/>
  <c r="N39" i="1"/>
  <c r="Q39" i="1" s="1"/>
  <c r="N44" i="1"/>
  <c r="Q44" i="1" s="1"/>
  <c r="N37" i="1"/>
  <c r="Q37" i="1" s="1"/>
  <c r="N58" i="1"/>
  <c r="Q58" i="1" s="1"/>
  <c r="N69" i="1"/>
  <c r="Q69" i="1" s="1"/>
  <c r="N45" i="1"/>
  <c r="Q45" i="1" s="1"/>
  <c r="N66" i="1"/>
  <c r="Q66" i="1" s="1"/>
  <c r="N67" i="1"/>
  <c r="Q67" i="1" s="1"/>
  <c r="N68" i="1"/>
  <c r="P68" i="1" s="1"/>
  <c r="N65" i="1"/>
  <c r="Q65" i="1" s="1"/>
  <c r="N54" i="1"/>
  <c r="Q54" i="1" s="1"/>
  <c r="N36" i="1"/>
  <c r="P36" i="1" s="1"/>
  <c r="N35" i="1"/>
  <c r="P35" i="1" s="1"/>
  <c r="N34" i="1"/>
  <c r="Q34" i="1" s="1"/>
  <c r="N52" i="1"/>
  <c r="Q52" i="1" s="1"/>
  <c r="N51" i="1"/>
  <c r="Q51" i="1" s="1"/>
  <c r="Q63" i="1"/>
  <c r="N32" i="1"/>
  <c r="P32" i="1" s="1"/>
  <c r="N33" i="1"/>
  <c r="P33" i="1" s="1"/>
  <c r="N56" i="1"/>
  <c r="Q56" i="1" s="1"/>
  <c r="P56" i="1"/>
  <c r="N50" i="1"/>
  <c r="Q50" i="1" s="1"/>
  <c r="N63" i="1"/>
  <c r="P63" i="1" s="1"/>
  <c r="N19" i="1"/>
  <c r="P19" i="1" s="1"/>
  <c r="N20" i="1"/>
  <c r="P20" i="1" s="1"/>
  <c r="N21" i="1"/>
  <c r="P21" i="1" s="1"/>
  <c r="N18" i="1"/>
  <c r="P18" i="1" s="1"/>
  <c r="N22" i="1"/>
  <c r="P22" i="1" s="1"/>
  <c r="N23" i="1"/>
  <c r="P23" i="1" s="1"/>
  <c r="N24" i="1"/>
  <c r="P24" i="1" s="1"/>
  <c r="N25" i="1"/>
  <c r="P25" i="1" s="1"/>
  <c r="N26" i="1"/>
  <c r="P26" i="1" s="1"/>
  <c r="N64" i="1"/>
  <c r="P64" i="1" s="1"/>
  <c r="N47" i="1"/>
  <c r="P47" i="1" s="1"/>
  <c r="N27" i="1"/>
  <c r="Q27" i="1" s="1"/>
  <c r="N29" i="1"/>
  <c r="P29" i="1" s="1"/>
  <c r="N55" i="1"/>
  <c r="Q55" i="1" s="1"/>
  <c r="N31" i="1"/>
  <c r="Q31" i="1" s="1"/>
  <c r="N30" i="1"/>
  <c r="P30" i="1" s="1"/>
  <c r="N46" i="1"/>
  <c r="O46" i="1" s="1"/>
  <c r="Q46" i="1" s="1"/>
  <c r="N10" i="1"/>
  <c r="P10" i="1" s="1"/>
  <c r="Q10" i="1"/>
  <c r="N9" i="1"/>
  <c r="Q9" i="1" s="1"/>
  <c r="N8" i="1"/>
  <c r="Q8" i="1" s="1"/>
  <c r="N7" i="1"/>
  <c r="Q7" i="1" s="1"/>
  <c r="N17" i="1"/>
  <c r="P17" i="1" s="1"/>
  <c r="N16" i="1"/>
  <c r="P16" i="1" s="1"/>
  <c r="N15" i="1"/>
  <c r="P15" i="1" s="1"/>
  <c r="N14" i="1"/>
  <c r="P14" i="1" s="1"/>
  <c r="N13" i="1"/>
  <c r="P13" i="1" s="1"/>
  <c r="N12" i="1"/>
  <c r="P12" i="1" s="1"/>
  <c r="N11" i="1"/>
  <c r="Q11" i="1" s="1"/>
  <c r="Q19" i="1"/>
  <c r="Q20" i="1"/>
  <c r="Q21" i="1"/>
  <c r="Q18" i="1"/>
  <c r="Q22" i="1"/>
  <c r="Q23" i="1"/>
  <c r="Q24" i="1"/>
  <c r="Q25" i="1"/>
  <c r="Q26" i="1"/>
  <c r="N28" i="1"/>
  <c r="Q28" i="1" s="1"/>
  <c r="P9" i="1" l="1"/>
  <c r="P44" i="1"/>
  <c r="P72" i="1"/>
  <c r="P34" i="1"/>
  <c r="P65" i="1"/>
  <c r="P45" i="1"/>
  <c r="Q75" i="1"/>
  <c r="P55" i="1"/>
  <c r="Q35" i="1"/>
  <c r="Q68" i="1"/>
  <c r="P69" i="1"/>
  <c r="P57" i="1"/>
  <c r="Q29" i="1"/>
  <c r="Q36" i="1"/>
  <c r="P67" i="1"/>
  <c r="P58" i="1"/>
  <c r="Q38" i="1"/>
  <c r="P59" i="1"/>
  <c r="Q16" i="1"/>
  <c r="P27" i="1"/>
  <c r="P54" i="1"/>
  <c r="P66" i="1"/>
  <c r="P49" i="1"/>
  <c r="Q17" i="1"/>
  <c r="P71" i="1"/>
  <c r="P53" i="1"/>
  <c r="Q14" i="1"/>
  <c r="P7" i="1"/>
  <c r="Q30" i="1"/>
  <c r="Q32" i="1"/>
  <c r="P70" i="1"/>
  <c r="Q74" i="1"/>
  <c r="Q15" i="1"/>
  <c r="Q60" i="1"/>
  <c r="Q61" i="1"/>
  <c r="Q33" i="1"/>
  <c r="P39" i="1"/>
  <c r="A17" i="1"/>
  <c r="A18" i="1" s="1"/>
  <c r="A19" i="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P48" i="1"/>
  <c r="P8" i="1"/>
  <c r="P76" i="1"/>
  <c r="Q62" i="1"/>
  <c r="P28" i="1"/>
  <c r="P37" i="1"/>
  <c r="Q64" i="1"/>
  <c r="Q12" i="1"/>
  <c r="Q47" i="1"/>
  <c r="Q40" i="1"/>
  <c r="Q73" i="1"/>
  <c r="P51" i="1"/>
  <c r="Q41" i="1"/>
  <c r="Q42" i="1"/>
  <c r="Q13" i="1"/>
  <c r="P52" i="1"/>
  <c r="P11" i="1"/>
  <c r="P31" i="1"/>
  <c r="P50" i="1"/>
  <c r="A47" i="1" l="1"/>
  <c r="A48" i="1" s="1"/>
  <c r="A49" i="1" s="1"/>
  <c r="A50" i="1" s="1"/>
  <c r="A51" i="1" s="1"/>
  <c r="A52" i="1" s="1"/>
  <c r="A53" i="1" s="1"/>
  <c r="A54" i="1" s="1"/>
  <c r="A55" i="1" s="1"/>
  <c r="A56" i="1" s="1"/>
  <c r="A57" i="1" s="1"/>
  <c r="A58" i="1" s="1"/>
  <c r="A59" i="1" s="1"/>
  <c r="A60" i="1" s="1"/>
  <c r="A61" i="1" s="1"/>
  <c r="A62" i="1" s="1"/>
</calcChain>
</file>

<file path=xl/sharedStrings.xml><?xml version="1.0" encoding="utf-8"?>
<sst xmlns="http://schemas.openxmlformats.org/spreadsheetml/2006/main" count="646" uniqueCount="289">
  <si>
    <t xml:space="preserve"> </t>
  </si>
  <si>
    <t>CONTRATISTA</t>
  </si>
  <si>
    <t>FONDO</t>
  </si>
  <si>
    <t>EJERCIDO</t>
  </si>
  <si>
    <t>BACHEO CON MEZCLA ASFÁLTICA EN CALIENTE 2, 2024, UBICADO EN DIFERENTES CALLES DE LOS  CUATRO CUADRANTES DEL MUNICIPIO DE PUEBLA  UBICACIÓN DIFERENTES CALLES DE LOS CUATRO CUADRANTES  DEL MUNICIPIO DE PUEBLA,</t>
  </si>
  <si>
    <t xml:space="preserve">CONSTRUCTORA OSAKE S.A. DE  C.V. </t>
  </si>
  <si>
    <t>RECURSOS PROPIOS</t>
  </si>
  <si>
    <t>CONSTRUCCIÓN DE PAVIMENTO Y OBRAS COMPLEMENTARIAS EN CALLE 2 SUR ENTRE CALLE MAXIMINO ÁVILA CAMACHO Y CALLE 3 ORIENTE, EN LA COLONIA EL SALVADOR DEL MUNICIPIO DE PUEBLA. UBICACIÓN CALLE 2 SUR ENTRE CALLE MAXIMINO ÁVILA CAMACHO Y CALLE 3 ORIENTE, EN LA COLONIA EL SALVADOR DEL MUNICIPIO DE PUEBLA.</t>
  </si>
  <si>
    <t>EDIFFICA BATLLO INMOBILIARIOS, S.A. DE C.V.</t>
  </si>
  <si>
    <t xml:space="preserve">CONSTRUCCIÓN DE PAVIMENTO Y OBRAS COMPLEMENTARIAS EN CALLE 3 ENTRE CALLE JOSÉ MARTÍ Y CALLE CESAR VALLEJO, EN LA COLONIAS BALCONES DEL SUR Y FRATERNIDAD ANTORCHISTA, DE LA JUNTA AUXILIAR SAN FRANCISCO TOTIMEHUACAN DEL MUNICIPIO DE PUEBLA.  UBICACIÓN CALLE 3 ENTRE CALLE JOSÉ MARTÍ Y CALLE CESAR VALLEJO, EN LA COLONIAS BALCONES DEL SUR Y FRATERNIDAD ANTORCHISTA, DE LA JUNTA AUXILIAR SAN FRANCISCO TOTIMEHUACAN DEL MUNICIPIO DE PUEBLA. </t>
  </si>
  <si>
    <t>ARKI JOMAN, S DE R.L. DE C.V.</t>
  </si>
  <si>
    <t>CONSTRUCCIÓN DE PAVIMENTO Y OBRAS COMPLEMENTARIAS EN CALLE DURAZNO ENTRE CALLE LAURELES Y CALLE ROBLE, EN LA COLONIA BOSQUES DE AMALUCAN PRIMERA SECCIÓN DEL MUNICIPIO DE PUEBLA.  UBICACIÓN CALLE DURAZNO ENTRE CALLE LAURELES Y CALLE ROBLE, EN LA COLONIA BOSQUES DE AMALUCAN PRIMERA SECCIÓN DEL MUNICIPIO DE PUEBLA.</t>
  </si>
  <si>
    <t>GRUPO CONSTRUCTOR PROINCI, S.A. DE C.V.</t>
  </si>
  <si>
    <t>CONSTRUCCIÓN DE PAVIMENTO Y OBRAS COMPLEMENTARIAS EN AVENIDA 11 DE ENERO ENTRE CALLE MISAEL NÚÑEZ ACOSTA Y FIN DE CALLE, EN LA COLONIA BARRANCA HONDA, DE LA JUNTA AUXILIAR SAN PABLO XOCHIMEHUACAN DEL MUNICIPIO DE PUEBLA.  UBICACIÓN AVENIDA 11 DE ENERO ENTRE CALLE MISAEL NÚÑEZ ACOSTA Y FIN DE CALLE, EN LA COLONIA BARRANCA HONDA, DE LA JUNTA AUXILIAR SAN PABLO XOCHIMEHUACAN DEL MUNICIPIO DE PUEBLA.</t>
  </si>
  <si>
    <t>SOLUTINTEC, S.A. DE C.V.</t>
  </si>
  <si>
    <t>CONSTRUCCIÓN DE PAVIMENTO Y OBRAS COMPLEMENTARIAS EN CALLE ROBLE ENTRE CALLE COLORINES Y CALLE ALCANFORES, EN LA COLONIA VALLE PARAÍSO, DE LA JUNTA AUXILIAR SAN BALTAZAR CAMPECHE DEL MUNICIPIO DE PUEBLA.  UBICACIÓN CALLE ROBLE ENTRE CALLE COLORINES Y CALLE ALCANFORES, EN LA COLONIA VALLE PARAÍSO, DE LA JUNTA AUXILIAR SAN BALTAZAR CAMPECHE DEL MUNICIPIO DE PUEBLA.</t>
  </si>
  <si>
    <t xml:space="preserve">CONSTRUCCIÓN DE PAVIMENTO Y OBRAS COMPLEMENTARIAS EN CALLE 110 PONIENTE ENTRE CALLE 15 NORTE Y FIN DE CALLE, EN LA COLONIA VENUSTIANO CARRANZA, DE LA JUNTA AUXILIAR SAN PABLO XOCHIMEHUACAN DEL MUNICIPIO DE PUEBLA.  UBICACIÓN  CALLE 110 PONIENTE ENTRE CALLE 15 NORTE Y FIN DE CALLE, EN LA COLONIA VENUSTIANO CARRANZA, DE LA JUNTA AUXILIAR SAN PABLO XOCHIMEHUACAN DEL MUNICIPIO DE PUEBLA. </t>
  </si>
  <si>
    <t xml:space="preserve">CONSTRUCCIÓN DE COLECTOR PLUVIAL EN CALLE PINO ENTRE CALLE POLÍTICA MODERNA Y CALLE LIBERTAD, CALLE LIBERTAD ENTRE CALLE PINO Y CALLE RUBÍ, CALLE RUBÍ ENTRE CALLE LIBERTAD Y BARRANCA, EN LAS COLONIAS NUEVO PARAÍSO Y SOLIDARIDAD, DE LA JUNTA AUXILIAR SAN SEBASTIÁN DE APARICIO DEL MUNICIPIO DE PUEBLA.  UBICACIÓN EN CALLE PINO ENTRE CALLE POLÍTICA MODERNA Y CALLE LIBERTAD, CALLE LIBERTAD ENTRE CALLE PINO Y CALLE RUBÍ, CALLE RUBÍ ENTRE CALLE LIBERTAD Y BARRANCA, EN LAS COLONIAS NUEVO PARAÍSO Y SOLIDARIDAD, DE LA JUNTA AUXILIAR SAN SEBASTIÁN DE APARICIO DEL MUNICIPIO DE PUEBLA. </t>
  </si>
  <si>
    <t>GRUPO ECOLÓGICO INTERNACIONAL, S.A. DE C.V.</t>
  </si>
  <si>
    <t>RED DE ALCANTARILLADO PLUVIAL EN LA COLONIA SANTA CRUZ LOS ÁNGELES DEL MUNICIPIO DE PUEBLA UBICACIÓN EN CALLE 35 SUR, ENTRE AVENIDA 29 PONIENTE Y AVENIDA MANUEL ESPINOSA YGLESIAS O CALLE 31 PONIENTE; EN AVENIDA MANUEL ESPINOSA YGLESIA O CALL31 PONIENTE ENTRE CALLE 35 SUR Y CALLE 33 SUR, EN LA COLONIA SANTA CRUZ LOS ÁNGELES DEL MUNICIPIO DE PUEBLA.</t>
  </si>
  <si>
    <t>GRUPO INMOBILIARIO SKARN, S.A. DE C.V.</t>
  </si>
  <si>
    <t>CONSTRUCCIÓN DE PAVIMENTO Y OBRAS COMPLEMENTARIAS EN CALLE VENUSTIANO CARRANZA ENTRE CALLE BENITO JUÁREZ Y CALLE EMILIANO ZAPATA, EN LA COLONIA GUADALUPE HIDALGO, DE LA JUNTA AUXILIAR SAN FRANCISCO TOTIMEHUACAN DEL MUNICIPIO DE PUEBLA. UBICACIÓN CALLE VENUSTIANO CARRANZA ENTRE CALLE BENITO JUÁREZ Y CALLE EMILIANO ZAPATA, EN LA COLONIA GUADALUPE HIDALGO, DE LA JUNTA AUXILIAR SAN FRANCISCO TOTIMEHUACAN DEL MUNICIPIO DE PUEBLA.</t>
  </si>
  <si>
    <t>EDIFICACIONES ESPECIALES JAKME, S.A. DE C.V.</t>
  </si>
  <si>
    <t>CONSTRUCCIÓN DE TECHADOS EN ESCUELAS PÚBLICAS DE EDUCACIÓN BÁSICA, TECHADO DE 20 X 30 METROS EN XONA EÓLICA TIPO 2, EN LA LOCALIDAD HEROICA PUEBLA DE ZARAGOZA, EN EL MUNICIPIO DE PUEBLA, EN EL ESTADO DE PUEBLA.</t>
  </si>
  <si>
    <t xml:space="preserve">GRUPO BAND Y JLB DE PUEBLA, S.A. DE C.V. </t>
  </si>
  <si>
    <t>CONVENIO ESTADO / FAISMUNDF 2024</t>
  </si>
  <si>
    <t>MODERNIZACIÓN DE LA CALLE LOS PILARES, EN LA JUNTA AUXILIAR DE SAN MIGUEL CANOA EN EL MUNICIPIO DE PUEBLA, DEL KM. 0+000 AL KM 1+577.</t>
  </si>
  <si>
    <t>CONSTRUCTORA Y PROMOTORA ARANTE, S.A. DE C.V.</t>
  </si>
  <si>
    <t>RECONSTRUCCIÓN DE PAVIMENTO CON CONCRETO ASFÁLTICO DE LA AVENIDA DE LOS MÁRTIRES INICIANDO EN CAMINO A CLAVIJERO, CON UNA LONGITUD DE 930 METROS, EN LA LOCALIDAD DE HEROICA PUEBLA DE ZARAGOZA, MUNICIPIO DE PUEBLA, ESTADO DE PUEBLA</t>
  </si>
  <si>
    <t>CUAR CONSTRUCTORES ASOCIADOS, S.A. DE C.V.</t>
  </si>
  <si>
    <t>RECONSTRUCCIÓN DE PAVIMENTO CON CONCRETO ASFÁLTICO DE LA CALLE VENUSTIANO CARRANZA, ENTRE CAMINO A CLAVIJERO Y AVENIDA CAMPO DE TIRO, EN LA LOCALIDAD DE HEROICA PUEBLA DE ZARAGOZA, EN EL MUNICIPIO DE PUEBLA, EN EL ESTADO DE PUEBLA</t>
  </si>
  <si>
    <t>CONTRATISTAS CIVILES COLZA, S.A. DE C.V.</t>
  </si>
  <si>
    <t>RECONSTRUCCIÓN Y CONSTRUCCIÓN DE PAVIMENTO CON CONCRETO ASFÁLTICO DE LA AVENIDA DE LOS EDUCADORES, ENTRE AVENIDA JOSÉ MARÍA LAFRAGUA Y CALLE JUSTO SIERRA, AVENIDA DE LOS EDUCADORES ENTRE LAS CALLES JUAN CORDERO Y GALILEO GALILEI Y PRIVADA GALILEO GALILEI ENTRE LA AVENIDA DE LOS EDUCADORES Y LA AVENIDA INDEPENDENCIA, EN LA LOCALIDAD DE HEROICA PUEBLA DE ZARAGOZA, EN EL MUNICIPIO DE PUEBLA, EN EL ESTADO DE PUEBLA</t>
  </si>
  <si>
    <t>MANTENIMIENTO DE DIVERSAS CALLES A BASE DE BACHEO AISLADO CON CARPETA ASFÁLTICA, UBICADO EN LA LOCALIDAD DE HEROICA PUEBLA DE ZARAGOZA, EN EL MUNICIPIO DE PUEBLA, ESTADO DE PUEBLA.</t>
  </si>
  <si>
    <t>SATORI INOX, S.A. DE C.V.</t>
  </si>
  <si>
    <t>PROYECTO INTEGRAL PARA LA CONSTRUCCIÓN DEL MERCADO "SAN RAMÓN", UBICADO EN LA LOCALIDAD DE HEROICA PUEBLA DE ZARAGOZA, EN EL MUNICIPIO DE PUEBLA, ESTADO DE PUEBLA, ubicación AVENIDA LOMAS DE ATLIXCO S/N, ENTRE CALLE JAZMÍN Y CALLE LICENCIADO BENITO JUÁREZ COLONIA SAN RAMÓN CASTILLOTLA, DEL MUNICIPIO DE PUEBLA, PUE.</t>
  </si>
  <si>
    <t>DICOVIT, S.A. DE C.V.</t>
  </si>
  <si>
    <t>REHABILITACIÓN DEL TEMPLO DE LA CONCORDIA (SANTA VERACRUZ Y SAN FELIPE NERI). EN LA LOCALIDAD DE HEROICA PUEBLA DE ZARAGOZA, MUNICIPIO DE PUEBLA, EN EL ESTADO DE PUEBLA, SEGUNDA ETAPA UBICACIÓN EN CALLE 3 SUR NO. 902 ENTRE CALLE9 PONIENTE Y CALLE 11 PONIENTE , EN LA COLONIA CENTRO DEL MUNICIPIO DE PUEBLA</t>
  </si>
  <si>
    <t>CONSERVACION Y MANTENIMIENTO DE ESPACIO, S.A. DE C.V.</t>
  </si>
  <si>
    <t>CONVENIO ESTADO</t>
  </si>
  <si>
    <t>REHABILITACIÓN DE PAVIMENTO CON CONCRETO ASFÁLTICO EN LA CALLE 27 SUR ENTRE AVENIDA 23 PONIENTE Y CIRCUITO JUAN PABLO II, EN LA LOCALIDAD DE HEROICA PUEBLA DE ZARAGOZA, MUNICIPIO DE PUEBLA, ESTADO DE PUEBLA.</t>
  </si>
  <si>
    <t>CONSTRUCTORA SAN MARÓN, S.A. DE C.V.</t>
  </si>
  <si>
    <t xml:space="preserve">RECONSTRUCCIÓN DE PAVIMENTO CON CONCRETO ASFÁLTICO DE LA AVENIDA CAMPO DE TIRO ENTRE LAS CALLES 2 ORIENTE Y 14 ORIENTE, CON UNA LONGITUD DE 240 METROS, EN LA LOCALIDAD DE HEROICA PUEBLA DE ZARAGOZA, MUNICIPIO DE PUEBLA, ESTADO DE PUEBLA. </t>
  </si>
  <si>
    <t>FERGUSAN, S.A. DE C.V.</t>
  </si>
  <si>
    <t>REHABILITACIÓN DE PAVIMENTO CON CONCRETO ASFÁLTICO EN LA CALLE 31 SUR ENTRE BOULEVARD ATLIXCO Y CIRCUITO JUAN PABLO II, EN LA LOCALIDAD DE HEROICA PUEBLA DE ZARAGOZA, MUNICIPIO DE PUEBLA, ESTADO DE PUEBLA</t>
  </si>
  <si>
    <t>PACH CONSTRUCCIONES, S.A. DE C.V.</t>
  </si>
  <si>
    <t>DESCRIPCIÓN</t>
  </si>
  <si>
    <t>AVANCE FINANCIERO</t>
  </si>
  <si>
    <t>POR EJERCER</t>
  </si>
  <si>
    <t>CONVENIO ESTADO / RECURSOS PROPIOS</t>
  </si>
  <si>
    <t>RECURSOS MUNICIPIO</t>
  </si>
  <si>
    <t>MONTO CONTRATO</t>
  </si>
  <si>
    <t>MUNICIPIO</t>
  </si>
  <si>
    <t>50% MUNICIPIO / 50% ESTADO</t>
  </si>
  <si>
    <t>26% MUNICIPIO / 74% ESTADO</t>
  </si>
  <si>
    <t>22% MUNICIPIO / 78% ESTADO</t>
  </si>
  <si>
    <t>15% MUNICIPIO / 85% ESTADO</t>
  </si>
  <si>
    <t>20% MUNICIPIO / 80% ESTADO</t>
  </si>
  <si>
    <t>60% MUNICIPIO / 40% ESTADO</t>
  </si>
  <si>
    <t>75% MUNICIPIO / 25% ESTADO</t>
  </si>
  <si>
    <t>ESTADO</t>
  </si>
  <si>
    <t>TOTALES</t>
  </si>
  <si>
    <t>OBRA</t>
  </si>
  <si>
    <t>RECURSOS</t>
  </si>
  <si>
    <t>DISTRIBUCIÓN DE RECURSOS</t>
  </si>
  <si>
    <t>AR</t>
  </si>
  <si>
    <t>RECONSTRUCCIÓN DE PAVIMENTO CON CONCRETO ASFÁLTICO DE CALLE 8 SUR ENTRE PROLONGACIÓN REFORMA Y AVENIDA 10 PONIENTE O CALLE AQUILES SERDÁN CALLE 53 NORTE ENTRE CALLE 10 PONIENTE O CALLE AQUILES SERDÁN Y LATERAL DE BOULEVARDHERMANOS SERDÁN, EN LA COLONIA AQUILES SERDÁN, DE LAS JUNTA AUXILIARES LA LIBERTAD Y SAN JERÓNIMO CALERAS, EN EL MUNICIPIO DE PUEBLA.</t>
  </si>
  <si>
    <t xml:space="preserve">ADET CONSTRUCCIPON INMOBILIARIA, S.A. DE C.V. </t>
  </si>
  <si>
    <t>FORTAMUN</t>
  </si>
  <si>
    <t>MODERNIZACIÓN Y MANTENIMIENTO DE LA UNIDAD MÉDICA INTEGRAL DEL SISTEMA MUNICIPAL DIF PUEBLA, UBICADO EN AVENIDA CUE MERLO 201, COLONIA SAN BALTAZAR CAMPECHE Y REHABILITACIPON DE MURO AL INTERIO DEL CENTRO DCAPACITACIÓN YDESARROLLO MUNICIPAL (CECADE)</t>
  </si>
  <si>
    <t>INMOBILIARIA CASTITAS, S.A. DE C.V.</t>
  </si>
  <si>
    <t xml:space="preserve">BACHEO CON MEZCLA ASFÁLTICA EN CALIENTE 2025-1, EN VIALIDADES DE LAS 17 JUNTAS AUXILIARES Y CABECERA MUNICIPAL DEL MUNICIPIO DE PUEBLA </t>
  </si>
  <si>
    <t>DH ESCAMELA,S.A. DE C.V.</t>
  </si>
  <si>
    <t>PARTICIPACIONES FEDERALES</t>
  </si>
  <si>
    <t>CONSTRUCCIÓN Y OBRAS COMPLEMENTARIAS DEL BACHILLERATO TECNOLÓGICO UBICADO EN CIUDAD UNIVERSITARIA 2 (ECO CAMPUS VALSEQUILLO), EN LA JUNTA AUXILIAR SAN PEDRO ZACACHIMALPA DEL MUNICIPIO DE PUEBLA</t>
  </si>
  <si>
    <t xml:space="preserve">MUT INFRAESTRUCTURA, S.A. DE C.V. </t>
  </si>
  <si>
    <t>FAISMUN 2025</t>
  </si>
  <si>
    <t>MONTO TOTAL</t>
  </si>
  <si>
    <t xml:space="preserve">DEZASOLVE DE BARRANCAS Y RIOS DEL MUNICIPIO DE PUEBLA </t>
  </si>
  <si>
    <t xml:space="preserve">CONSTRUCCIÓN DE MURO DE CONTENCIÓN EN CALLE ALBERT EINSTEIN, AL MARGEN DEL RIO ALSESECA, ENTRE CALLE MORELOS Y CALLE HERACLITO, EN LA COLONIA SAN LUIS GONZAGA, DEL MUNICIPIO DE PUEBLA </t>
  </si>
  <si>
    <t>JOMA Y ASOCIADOS S.A. DE C.V.</t>
  </si>
  <si>
    <t xml:space="preserve">CONSTRUCCIÓN DE COLECTOR PLUVIAL EN EL CENTRO MUNICIPAL DE EQUINOTERAPIA Y REHABILITACIÓN INTEGRAL (CMERI), UBICADO EN PROLONGACIÓN 11 SUR S/N INFONAVIT AGUA SANTA, DE LA JUNTA AUXILIAR SAN BALTAZAR CAMPECHE, DEL MUNICIPIO DE PUEBLA </t>
  </si>
  <si>
    <t>RECONSTRUCCIÓN DE CRUCE PEATONAL A NIVEL DE BANQUETA EN 31 PONIENTE, UBICADO EN 31 PONIENTE Y CALLE 13 SUR COLONIA LOS VOLCANES, CONSTRUCCIÓN DE REDUCTOR DE VELOCIDAD, UBICADO EN CALLE 15 DE MAYO ENTRE CALLE NOGAL Y CALLE ENRIQUE VILLAR DE LA COLONIA AHOGADA Y FRACCIONAMIENTO LOS CIPRESES DEL MUNICIPIO DE PUEBLA</t>
  </si>
  <si>
    <t xml:space="preserve">PAVIMENTACIÓN Y OBRAS COMPLEMENTARIAS EN CALLE 17 B O CALLE SAUCE ENTRE AVENIDA APULCO E INICIO DE PUENTE, EN LAS COLONIAS BOSQUES DE AMALUCAN Y LA AZTECA, DEL MUNICIPIO DE PUEBLA </t>
  </si>
  <si>
    <t>FORTAMUNDF 2025</t>
  </si>
  <si>
    <t xml:space="preserve">CORPORATIVO CONSTRUCTOR CUROSA,S.A. DE C.V. </t>
  </si>
  <si>
    <t xml:space="preserve">CONSTRUCCIONES MADAXI, S.A DE C.V </t>
  </si>
  <si>
    <t>MICHIGAN CONSTRUCCIONES S.A. DE C.V.</t>
  </si>
  <si>
    <t>PAVIMENTACIÓN Y OBRAS COMPLEMENTARIAS EN CALLE PALMAS ENTRE AVENIDA RAFAEL ÁVILA CAMACHO Y CALLE RIVERA DEL ATOYAC SUR, EN LA COLONIA SANTA CRUZ BUENA VISTA, DE LA JUNTA AUXILIAR IGNACIO ROMERO VARGAS, DEL MUNICIPIO DE PUEBLA</t>
  </si>
  <si>
    <t>CONSTRUCTORA DAVENTY, S. DE R.L. DE C.V</t>
  </si>
  <si>
    <t>PAVIMENTACIÓN Y OBRAS COMPLEMENTARIAS EN CALLE ARTÍCULO 9 ENTRE AVENIDA CONSTITUYENTES Y CALLE ARTÍCULO 1; CALLE ARTÍCULO 1 ENTRE ARTÍCULO 9 Y CAMINO VIEJO A BALCONES, EN LAS COLONIAS CONSTITUCIÓN MEXICANA Y AMPLIACION CONSTITUCIÓN MEXICANA, DE LA JUNTA AUXILIAR SAN FRANCISCO TOTIMEHUACAN DEL MUNICIPIO DE PUEBLA</t>
  </si>
  <si>
    <t xml:space="preserve">MANTENIMIENTO VIAL Y OBRAS COMPLEMENTARIAS EN AVENIDA 11 ORIENTE ENTRE BOULEVARD HÉROES DEL 5 DE MAYO Y AVENIDA 26 SUR, EN LAS COLONIAS RANCHO AZCARATE, MOTOLINÍA, EL ÁNGEL Y BARRIO DE ANALCO, DEL MUNICIPIO DE PUEBLA. </t>
  </si>
  <si>
    <t>CONSTRUCCIÓN DEL PUENTE VEHICULAR "LA PANGA", EN LAS LOCALIDADES SAN BALTAZAR TETELA Y LOS
ÁNGELES TETELA, EN EL MUNICIPIO DE PUEBLA, ESTADO DE PUEBLA</t>
  </si>
  <si>
    <t>GOBIERNO DEL ESTADO DE PUEBLA</t>
  </si>
  <si>
    <t>50%ESTADO/50% MUNICIPIO</t>
  </si>
  <si>
    <t>CONSTRUCTORA GAYPE, S.A. DE C.V.</t>
  </si>
  <si>
    <t>CONSTRUCTORA DREAMVIOR, S.A. DE C.V.</t>
  </si>
  <si>
    <t>RAMIREZ &amp; GARCÍA CONSTRUCTORA, S.A. DE C.V.</t>
  </si>
  <si>
    <t>MANTENIMIENTO INTEGRAL 2025-1 A LOS SERVICIOS DE INFRAESTRUCTURA, ESPACIOS PÚBLICOS, VIALIDADES E INMUEBLES HISTÓRICOS, DE LA ZONA DE MONUMENTOS DEL MUNICIPIO DE PUEBLA</t>
  </si>
  <si>
    <t xml:space="preserve">INFRAESTRUCTURA Y CONSTRUCCIONES DE PUEBLA, S.A DE C.V </t>
  </si>
  <si>
    <t>PARTICIPACIONES FEDERALES 2025</t>
  </si>
  <si>
    <t>MANTENIMIENTO VIAL Y OBRAS COMPLEMENTARIAS EN CALLE 30 NORTE ENTRE CALLE 32 NORTE Y AVENIDA 12 ORIENTE,EN LAS COLONIAS XONACA,AZTECA,VISTA HERMOSA,MIGUEL ALEMÁN,HUMBOLDT NORTE,RESURGIMIENTO NORTE, DEL MUNICIPIO DE PUEBLA</t>
  </si>
  <si>
    <t xml:space="preserve">MANTENIMIENTO VIAL Y OBRAS COMPLEMENTARIAS EN CALLE 5 SUR ENTRE CALLE AVENIDA 105 PONIENTE Y AVENIDA 113 PONIENTE;AVENIDA 3 SUR Y CALLE 7 SUR;CIRCUITO CENTRAL LOMA BELLA, EN LA COLONIA INFONAVIT LOMA BELLA, DE LA JUNTA AUXILIAR SAN BALTAZAR CAMPECHE,DEL MUNICIPIO DE PUEBLA. </t>
  </si>
  <si>
    <t>ARQUITECTONI-K INMOBILIARIA, S.A. DE C.V.</t>
  </si>
  <si>
    <t xml:space="preserve">CONSTRUCCIONES Y OPERACIONES DEL CARIBE GRACSA, S.A, DE C.V. </t>
  </si>
  <si>
    <t>MANTENIMIENTO VIAL Y OBRAS COMPLEMENTARIAS EN CALLE VENUS ENTRE CALLE LAGO HURON Y CALLE NEPTUNO, EN LA COLONIA FOVISSTE SAN ROQUE Y RINCÓN ARBOLEDAS, DE LA JUNTA AUXILIAR SAN BALTAZAR CAMPECHE, DEL MUNICIPIO DE PUEBLA</t>
  </si>
  <si>
    <t>MANTENIMIENTO VIAL Y OBRAS COMPLEMENTARIAS EN CALLE MANUEL ALONSO ENTRE CALLE SAUCE Y CAPULÍN; PAVIMENTACIÓN Y OBRAS COMPLEMENTARIAS EN CALLE SAN ALFONSO ENTRE CALLE LAURELES Y CALLE CAPULÍN, EN LA COLONIA SANTA MARGARITA, DEL MUNICIPIO DE PUEBLA.</t>
  </si>
  <si>
    <t xml:space="preserve">BERESMO CONSTRUCTORA Y URBANIZADORA, S.A DE C.V </t>
  </si>
  <si>
    <t xml:space="preserve">EDIFFICA BATLLO INMOBILIARIOS, S.A DE C.V </t>
  </si>
  <si>
    <t xml:space="preserve">BACHEO CON MEZCLA ASFÁLTICA EN FRÍO 2025-1, EN VIALIDADES DE LAS 17 JUNTAS AUXILIARES Y LA CABECERA MUNICIPAL, DEL MUNICIPIO DE PUEBLA </t>
  </si>
  <si>
    <t xml:space="preserve">RECURSOS PROPIOS </t>
  </si>
  <si>
    <t xml:space="preserve">PAVIMENTACIÓN Y OBRAS COMPLEMENTARIAS EN PRIVADA E DE LA 16 DE SEPTIEMBRE ENTRE CALLE SAN ALFONSO Y PRIVADA INDEPENDENCIA, EN LA COLONIA GUADALUPE HIDALGO 2DA SECCIÓN, DE LA JUNTA AUXILIAR DE SAN FRANCISCO TOTIMEHUACAN,DEL MUNICIPIO DE PUEBLA </t>
  </si>
  <si>
    <t>MANTENIMIENTO VIAL Y OBRAS COMPLEMENTARIAS EN CALLE ANÁHUAC Y CALLE CAMINO NACIONAL,DE LA JUNTA AUXILIAR IGNACIO ROMERO VARGAS, DEL MUNICIPIO DE PUEBLA</t>
  </si>
  <si>
    <t xml:space="preserve">CONSTRUCCIÓN DE COLECTOR PLUVIAL EJERCITO DE ORIENTE TRAMO CALLE 5 DE FEBRERO ENTRE CALLE VENUSTIANO CARRANZA Y BARRANCA SAN DIEGO, EN LA COLONIA ALAMOS VISTA HERMOSA, DEL MUNICIPIO </t>
  </si>
  <si>
    <t xml:space="preserve">CONSTRUCTORA Y PROMOTORA ARANTE, S.A DE C.V </t>
  </si>
  <si>
    <t xml:space="preserve">PROMOTORA Y CONSTRUCTORA FRAXA, S.A DE C.V </t>
  </si>
  <si>
    <t>PAVIMENTACIÓN Y OBRAS COMPLEMENTARIAS EN CALLE PALMAS ENTRE CALLE RIVERA DEL ATOYAC SUR Y FIN DE CALLE, EN LA COLONIA SANTA CRUZ BUENAVISTA,DE LA JUNTA AUXILIAR IGNACIO ROMERO VARGAS, DEL MUNICIPIO DE PUEBLA</t>
  </si>
  <si>
    <t xml:space="preserve">RETZA ESTUDIOS, S.A DE C.V </t>
  </si>
  <si>
    <t>GREEN PATCHER MÉXICO, S. DE R.L. DE C.V.</t>
  </si>
  <si>
    <t xml:space="preserve"> BACHEO CON MEZCLA ASFÁLTICA EN CALIENTE 2025-2, EN VIALIDADES DE LAS 17 JUNTAS AUXILIARES Y LA CABECERA
MUNICIPAL DEL MUNICIPIO DE PUEBLA.</t>
  </si>
  <si>
    <t>CONSTRUCCIÓN DE BARDA PERIMETRAL EN CENTRAL DE ABASTOS SOBRE LA CALLE INTERIOR NORTE C. ENTRE CALZADA DEL CONDE Y VÍA CORTA A SANTA ANA, EN LA COLONIA CENTRAL DE ABASTOS, DE LA JUNTA AUXILIAR DE SAN PABLO XOCHIMEHUACAN, DEL MUNICIPIO DE PUEBLA</t>
  </si>
  <si>
    <t>EQUIPAMIENTO DE POZO PROFUNDO PARA AGUA POTABLE DENOMINADO EL CARRIL, UBICADO EN CALLE 16 DE SEPTIEMBRE S/N, COLONIA SANTA CATARINA, DE LA JUNTA AUXILIAR SANTO TOMÁS CHAUTLA, DEL MUNICIPIO DE PUEBLA</t>
  </si>
  <si>
    <t xml:space="preserve">GRUPO ME CONSTRUYO MÉXICO, S. DE R.L. DE C.V. </t>
  </si>
  <si>
    <t xml:space="preserve">CONTRATISTAS CIVILES COLZA, S.A DE C.V </t>
  </si>
  <si>
    <t>CONSTRUCCIÓN DE SISTEMAS DE CAPTACIÓN DE AGUA DE LLUVIA EN INFRAESTRUCTURA EDUCATIVA PÚBLICA, UBICADAS EN ZONAS DE ATENCIÓN PRIORITARIA Y EN EL MERCADO MUNICIPAL 5 DE MAYO, LOCALIZADO EN LA CALLE 18 PONIENTE NO.309, COLONIA CENTRO HISTÓRICO, EN EL MUNICIPIO DE PUEBLA</t>
  </si>
  <si>
    <t>BACHEO CON MEZCLA ASFÁLTICA EN CALIENTE 2025-3, EN VIALIDADES DE LAS 17 JUNTAS AUXILIARES Y LA CABECERA MUNICIPAL DEL MUNICIPIO DE PUEBLA</t>
  </si>
  <si>
    <t>SUPERVISIÓN EXTERNA DEL EQUIPAMIENTO Y OBRAS COMPLEMENTARIAS PARA LA IMPLEMENTACIÓN DE: SISTEMA DE CALENTADOR SOLAR, SISTEMA DE ALMACENAMIENTO DE AGUA MEDIANTE TINACOS, SISTEMA DE CAPTACIÓN PLUVIAL Y DE ELECTRIFICACIÓN NO CONVENCIONAL CON PANEL SOLAR, EN DIFERENTES VIVIENDAS UBICADAS EN ZONAS DE ATENCIÓN PRIORITARIA DEL MUNICIPIO DE PUEBLA</t>
  </si>
  <si>
    <t>EQUIPAMIENTO Y OBRAS COMPLEMENTARIAS PARA LA IMPLEMENTACIÓN DE CALENTADORES SOLARES EN DIFERENTES VIVIENDAS UBICADAS EN ZONAS DE ATENCIÓN PRIORITARIA DEL MUNICIPIO DE PUEBLA</t>
  </si>
  <si>
    <t>EQUIPAMIENTO Y OBRAS COMPLEMENTARIAS PARA LA IMPLEMENTACIÓN DE ELECTRIFICACIÓN NO CONVENCIONAL CON PANEL SOLAR EN DIFERENTES VIVIENDAS UBICADAS EN ZONAS DE ATENCIÓN PRIORITARIAS DEL MUNICIPIO DE PUEBLA</t>
  </si>
  <si>
    <t xml:space="preserve">EQUIPAMIENTO Y OBRAS COMPLEMENTARIAS PARA LA IMPLEMENTACIÓN PARA LA IMPLEMENTACIÓN DE SISTEMAS DE ALMACENAMIENTO DE AGUA MEDIANTE TINACOS EN DIFERENTES VIVIENDAS UBICADAS EN ZONAS DE ATENCIÓN PRIORITARIA DEL MUNICIPIO DE PUEBLA </t>
  </si>
  <si>
    <t>EQUIPAMIENTO Y OBRAS COMPLEMENTARIAS PARA LA IMPLEMENTACIÓN DE LOS SISTEMAS DE CAPTACIÓN PLUVIAL EN DIFERENTES VIVIENDAS UBICADAS EN ZONAS DE ATENCIÓN PRIORITARIA DEL MUNICIPIO DE PUEBLA</t>
  </si>
  <si>
    <t xml:space="preserve">PAVIMENTACIÓN Y OBRAS COMPLEMENTARIAS EN CALLE 20 DE NOVIEMBRE ENTRE CALLE 3 NORTE Y FIN DE CALLE, EN LA COLONIA SAN JOSÉ LOS CERRITOS, DE LA JUNTA AUXILIAR SAN PABLO XOCHIMEHUACAN, DEL MUNICIPIO DE PUEBLA </t>
  </si>
  <si>
    <t>MANTENIMIENTO VIAL Y OBRAS COMPLEMENTARIAS EN CALLE 33 PONIENTE ENTRE CALLE 27 SUR Y CALLE 21 SUR; CALLE 21 SUR ENTRE CALLE 33 PONIENTE Y CALLE 19 SUR; CALLE 35 PONIENTE ENTRE CALLE 19 SUR Y AVENIDA 11 SUR, EN LAS COLONIAS LA NORIA, BENITO JUÁREZ, INFONAVIT 12 DE MAYO DE 1918, LOS VOLCANES Y GUSTAVO DÍAZ ORDAZ DE LA JUNTA AUXILIAR SAN BALTAZAR CAMPECHE CEL MUNICIPIO DE PUEBLA</t>
  </si>
  <si>
    <t xml:space="preserve">ELEMET CONSTRUCCIONES, S. DE R. L. DE C.V. </t>
  </si>
  <si>
    <t xml:space="preserve">CONSTRUCTORA OSAKE, S.A DE C.V </t>
  </si>
  <si>
    <t xml:space="preserve">CONEKTA CONSTRUCCIÓN Y ENLACES,S.A.P.I. DE C.V. </t>
  </si>
  <si>
    <t>LOZADA Y RODRÍGUEZ COMPAÑÍA INGENIERÍA GEOTÉCNICA S. DE  R.L. DE C.V.</t>
  </si>
  <si>
    <t>GRUPO CORPBO, S.A. DE C.V.</t>
  </si>
  <si>
    <t>CONSTRUCCIÓN Y COORDINACIÓN DE PROYECTOS, S.A. DE C.V.</t>
  </si>
  <si>
    <t>LI1, S.A. DE C.V.</t>
  </si>
  <si>
    <t>REMA SOLUTIONS, S.A. DE C.V.</t>
  </si>
  <si>
    <t>CUAR CONSTRUCTORES ASOCIADOS, S.A. DE C.V</t>
  </si>
  <si>
    <t>REMA SOLUTIONS, S.A DE C.V</t>
  </si>
  <si>
    <t>AMPLIACIÓN / DEDUCTIVAS</t>
  </si>
  <si>
    <t xml:space="preserve">INTERVENCIÓN Y MANTENIMIENTO DEL TEMPLO DE SANTA INÉS DEL MONTEPULCIANO; UBICADO EN CALLE 3 SUR NO. 903 CENTRO HISTÓRICO DE PUEBLA,PUEBLA;2a ETAPA. </t>
  </si>
  <si>
    <t>REHABILITACIÓN DE TECHUMBRE EN ÁREA DE FLORES Y VARIOS DEL MERCADO INDEPENCIA UBICADO EN 95 PONIENTE O 2DA PRIVADA DE CASTILLOTLA ENTRE 11 SUR Y 13 SUR, COLONIA LOS PINOS MAYORAZGO, JUNTA AUXILIAR SAN BALTAZAR CAMPECHE, MUNICIPIO DE PUEBLA.</t>
  </si>
  <si>
    <t>CONSTRUCCIÓN DE PLATAFORMAS EN PARADAS DE TRANSPORTE PÚBLICO EN DIVERSOS PUNTOS DEL MUNICIPIO DE PUEBLA</t>
  </si>
  <si>
    <t xml:space="preserve">CONSTRUCCIÓN DE ESPACIOS ALIMENTARIOS (DESAYUNADORES) PARA EL FORTALECIMIENTO DEL PROGRAMA DE ALIMENTACIÓN ESCOLAR EN LA MODALIDAD CALIENTE, EN DIVERSAS ESCUELAS PÚBLICAS DE NIVEL BÁSICO, EN EL MUNICIPIO DE PUEBLA. </t>
  </si>
  <si>
    <t>INMOBILIARIA CASTITAS, S.A. DE C.V</t>
  </si>
  <si>
    <t xml:space="preserve">MEJORAMIENTO A LA IMAGEN URBANA, BARRIO DE EL ALTO Y MANTENIMIENTO AL TEMPLO DE BALVANERA MARÍA AUXILIADORA, DEL MUNICIPIO DE PUEBLA. </t>
  </si>
  <si>
    <t xml:space="preserve">REHABILITACIÓN EMERGENTE DE INFRAESTRUCTURA HIDROSANITARIA, EN DIVERSAS CALLES DE COLONIAS Y JUNTAS AUXILIARES DEL MUNICIPIO DE PUEBLA. </t>
  </si>
  <si>
    <t>BEREDA CAMINOS OBRA CIVIL Y REMODELACIONES, S DE R.L. DE C.V.</t>
  </si>
  <si>
    <t>CORPORATIVO CONSTRUCTOR CUROSA, S.A. DE C.V</t>
  </si>
  <si>
    <t>CONEKTA CONSTRUCCIÓN Y ENLACES, S.A.P.I. DE C.V</t>
  </si>
  <si>
    <t>BEZAFYRO CONSTRUCCIONES, S.A. DE C.V</t>
  </si>
  <si>
    <t>JORGE VICTOR RÍOS PERALTA</t>
  </si>
  <si>
    <t>CONSTRUCCIÓN Y MATERIALES JABETZA 21, S.A. DE C.V</t>
  </si>
  <si>
    <t>MUNICIPIO / FEDERAL</t>
  </si>
  <si>
    <t>RECURSOS FEDERAL</t>
  </si>
  <si>
    <t>RECURSOS ESTATAL</t>
  </si>
  <si>
    <t xml:space="preserve"> ESTUDIO DE GEOTECNIA, EVALUACIÓN DE PAVIMENTO
Y ESTUDIOS TOPOGRÁFICOS PARA DIFERENTES VIALIDADES DEL MUNICIPIO DE PUEBLA, 2025.</t>
  </si>
  <si>
    <t xml:space="preserve">BACHEO CON MEZCLA ASFÁLTICA EN CALIENTE 2025-4, EN VIALIDADES DE LAS 17 JUNTAS AUXILIARES Y LA CABECERA MUNICIPAL DDEL MUNICIPIO DE PUEBLA </t>
  </si>
  <si>
    <t>LABORATORIO DE CONTROL DE CALIDAD Y SUPERVISIÓN, S.A. DE C.V</t>
  </si>
  <si>
    <t>PROYECTOS Y SOLUCIONES EDIFICARE, S. DE R.L. DE C.V.</t>
  </si>
  <si>
    <t xml:space="preserve">REHABILITACIÓN VIAL CON CONCRETO ASFALTICO Y OBRAS COMPLEMENTARIAS DEL CAMINO VIEJO A BALCONES ENTRE AVENIDA MARIO BENEDETTI Y CALLE SANTA LEONOR O CALLE 4TA. PRIVADA DE LA CONCEPCIÓN, AVENIDA MIGUEL DE LA MADRID HURTADO ENTRE CALLE SANTA LEONOR O CALLE 5TA. PRIVADA DE LA CONCEPCIÓN Y PROLONGACIÓN DE LA 16 DE SEPTIEMBRE DE LAS COLONIAS CONSTITUCIÓN MEXICANA, SANTA LUCIA, LA CONCEPCIÓN SUR, S.N.T.E., SAN ALFONSO, GUADALUPE HIDALGO 2DA. SECCIÓN, DE LA JUNTA AUXILIAR SAN FRANCISCO TOTIMEHUACAN DEL MUNICIPIO DE PUEBLA </t>
  </si>
  <si>
    <t>REMODELACIÓN Y ADECUACIÓN EN EL EDIFICIO DEL CAM (CENTRO DE ATENCIÓN MUNICIPAL), UBICADO EN AVENIDA 4 PONIENTE ESQUINA CON 11 NORTE, EN LA COLONIA CENTRO DEL MUNICIPIO DE PUEBLA</t>
  </si>
  <si>
    <t>ZDANIYA, S.A. DE C.V</t>
  </si>
  <si>
    <t xml:space="preserve">REHABILITACIÓN DE ALCANTARILLADO SANITARIO EN CALLE ROMERO VARGAS ENTRE PRIVADA FELIPE BERRIOZABAL Y CALLE ROMERO RUBIO, PRIVADA FELIPE BERRIOZÁBAL ENTRE CALLE ROMERO VARGAS Y CALLE JUÁN TAMBORIEL, DE LA JUNTA AUXILIAR SAN JERÓNIMO CALERAS, DEL MUNICIPIO DE PUEBLA </t>
  </si>
  <si>
    <t>AVANCE FÍSICO</t>
  </si>
  <si>
    <t xml:space="preserve">PAVIMENTACIÓN Y OBRAS COMPLEMENTARIAS EN CALLE 3 DE MAYO, ENTRE CALLE NIÑOS HÉROES Y CALLE BELLAS ARTES, EN LA COLONIA GUADALUPE EJIDO ROMERO VARGA, DE LA JUNTA AUXILIAR IGNACIO ROMERO VARGAS, DEL MUNICIPIO DE PUEBLA. </t>
  </si>
  <si>
    <t>ELEMET CONSTRUCCIONES, S. DE R.L. DE C.V.</t>
  </si>
  <si>
    <t>VALUACIÓN PROYECTOS Y CONSTRUCCIONES, S.A. DE C.V</t>
  </si>
  <si>
    <t>CONSTRUCTORA INDARCO MAZARO, S.A. DE C.V.</t>
  </si>
  <si>
    <t>REHABILITACIÓN DE ACCESOS Y ELEMENTOS DE
MOVILIDAD E INFRAESTRUCTURA URBANA EN LA 25 ZONA MILITAR, UBICADO EN AVENIDA LIBERTAD S/N DE LA
JUNTA AUXILIAR IGNACIO ZARAGOZA DEL MUNICIPIO DE PUEBLA.</t>
  </si>
  <si>
    <t>PROYECTO INTEGRAL A PRECIO ALZADO PARA LA
REHABILITACIÓN EMERGENTE DEL PUENTE VEHICULAR EN LA CALLE 5 DE MAYO ENTRE CALLE 6 DE ABRIL Y CALLE
"A" EN LAS COLONIAS SAN JOSÉ LOS CERRITOS Y PARQUE INDUSTRIAL 5 DE MAYO DE LA JUNTA AUXILIAR DE SAN
PABLO ХОСНІМEHUACAN EN EL MUNICIPIO DE PUEBLA.</t>
  </si>
  <si>
    <t xml:space="preserve"> HOVAL ADVANCE ASFALTOS Y EMULSIONES, S.A. DE C.V</t>
  </si>
  <si>
    <t>AMPLIACIÓN</t>
  </si>
  <si>
    <t>SMIMP/LP/018/2025-0044</t>
  </si>
  <si>
    <t>SERVICIO INTEGRAL DE MANTENIMIENTO PREVENTIVO Y CORRECTIVO, MODERNIZACIÓN, COMPLEMENTACIÓN DE LA RED DE INFRAESTRUCTURA SEMAFÓRICA, SEÑALÉTICA VERTICAL Y HORIZONTAL Y PROYECTOS RELACIONADOS A LA SEGURIDAD VIAL DEL H. AYUNTAMIENTO DEL MUNICIPIO DE PUEBLA</t>
  </si>
  <si>
    <t>SEMEX, S.A. DE C.V.</t>
  </si>
  <si>
    <t>CONTRATO MULTIANUAL</t>
  </si>
  <si>
    <t>SMIMP/LP-019-2025-0043</t>
  </si>
  <si>
    <t>CONTRATACIÓN DEL SERVICIO INTEGRAL PARA DESARROLLAR EL PROGRAMA VÍA RECREATIVA, EN EL MUNICIPIO DE PUEBLA</t>
  </si>
  <si>
    <t>PUBLIEX, S.A. DE C.V.</t>
  </si>
  <si>
    <t>RECURSOS FISCALES</t>
  </si>
  <si>
    <t>SMIMP/LP-020-2025-0091</t>
  </si>
  <si>
    <t>SERVICIO INTEGRAL PARA LA OPERACIÓN DEL ESTACIONAMIENTO ROTATIVO EN VÍA PÚBLICA EN DIVERSAS ZONAS DEL MUNICIPIO DE PUEBLA.</t>
  </si>
  <si>
    <t>CARGO MOVIL, S.A.P.I DE C.V.</t>
  </si>
  <si>
    <t>SMIMP/LP-024-2025-0083</t>
  </si>
  <si>
    <t>SERVICIO INTEGRAL DE SUMINISTRO E INSTALACIÓN DE SISTEMAS DE CAPTACIÓN DE AGUA PLUVIAL EN EL MUNICIPIO DE PUEBLA</t>
  </si>
  <si>
    <t>MARÍA ESTELA FLORES HAMUE</t>
  </si>
  <si>
    <t>SMIMP/LP-134-2025-0334</t>
  </si>
  <si>
    <t>ADQUISICIÓN DE PINTURA, MICROESFERA Y MATERIALES NECESARIOS PARA LA SEÑALIZACIÓN HORIZONTAL Y VERTICAL EN EL MUNICIPIO DE PUEBLA</t>
  </si>
  <si>
    <t>CONSTRUCTORA GB DE PUEBLA, S.A. DE C.V.</t>
  </si>
  <si>
    <t>SMIMP/LP-146-2025-0335</t>
  </si>
  <si>
    <t>ADQUISICIÓN DE EQUIPO ESPECIALIZADO SEMAFÓRICO Y EQUIPAMIENTO SEMAFÓRICO (POSTES, BRAZOS, HERRAJES) PARA LA AMPLIACIÓN DE LA RED DE SEMÁFOROS EN EL MUNICIPIO DE PUEBLA</t>
  </si>
  <si>
    <t>SMIMP/LP-150-2025-0386</t>
  </si>
  <si>
    <t>CONTRATACIÓN DE SERVICIO INTEGRAL PARA LA INSTALACIÓN Y SUMINISTRO DE ELEMENTOS DE CONFINAMIENTO PARA LA IMPLEMENTACIÓN Y MANTENIMIENTO DE INFRAESTRUCTURA CICLISTA EN EL MUNICIPIO DE PUEBLA</t>
  </si>
  <si>
    <t>TECNOPLAST ECOLOGICO, S.A. DE C.V.</t>
  </si>
  <si>
    <t>SMIMP/CI388-2025-03-071025</t>
  </si>
  <si>
    <t xml:space="preserve">ADQUISICIÓN DE DIVERSOS MATERIALES DE CONSTRUCCIÓN Y HERRAMIENTAS PARA LA SUBSECRETARÍA DE INFRAESTRUCTURA DE LA SECRETARÍA DE MOVILIDAD E INFRAESTRUCTURA DEL H. AYUNTAMIENTO DEL MUNICIPIO DE PUEBLA </t>
  </si>
  <si>
    <t>CONSTRUCCIONES MODERNAS Y CONTEMPORÁNEAS, S.A. DE C.V.</t>
  </si>
  <si>
    <t>SMIMP/I3-189-2025-0381</t>
  </si>
  <si>
    <t>ADQUISICIÓN DE UNIFORMES Y PRENDAS DE PROTECCION PERSONAL DE LA SUBSECRETARIA DE MOVILIDAD Y SEGURIDAD VIAL DE LA SECRETARÍA DE MOVILIDAD E INFRAESTRUCTURA DEL H. AYUNTAMIENTO DEL MUNICIPIO DE PUEBLA</t>
  </si>
  <si>
    <t>ELEMENTAL DENIM, S.A. DE C.V.</t>
  </si>
  <si>
    <t>SMIMP/CI-440-2025-090425</t>
  </si>
  <si>
    <t>ASESORÍA ESPECIALIZADA PARA LA EVALUACIÓN Y FORTALECIMIENTO DE EXPEDIENTES TÉCNICO-ADMINISTRATIVOS DE LA SECRETARÍA DE MOVILIDAD E INFRAESTRUCTURA DEL MUNICIPIO DE PUEBLA.</t>
  </si>
  <si>
    <t>DIEXPRO HOLDING, S.A. DE C.V.</t>
  </si>
  <si>
    <t>SMIMP/LP-485-2025-101625</t>
  </si>
  <si>
    <t>ADQUISICIÓN DE MEZCLA ASFÁLTICA EN FRÍO PARA MANTENIMIENTO VIAL EN EL MUNICIPIO DE PUEBLA.</t>
  </si>
  <si>
    <t>CONSTRUCTORA E INMOBILIARIA GAEN, S.A. DE C.V.</t>
  </si>
  <si>
    <t>SMIMP/CI-503-2025-101525</t>
  </si>
  <si>
    <t>SERVICIO DE ARRENDAMIENTO DE MAQUINARIA PESADA PARA LA SECRETARÍA DE MOVILIDAD E INFRAESTRUCTURA DEL MUNICIPIO DE PUEBLA.</t>
  </si>
  <si>
    <t>DISEÑO Y ESPACIO 4S, S.A. DE C.V.</t>
  </si>
  <si>
    <t>TOTAL</t>
  </si>
  <si>
    <t>JUAN MANUEL COLIN</t>
  </si>
  <si>
    <t>SR OSCURO</t>
  </si>
  <si>
    <t>FECHA:31/12/25</t>
  </si>
  <si>
    <t>BACHEO</t>
  </si>
  <si>
    <t>DIF MUNICIPAL</t>
  </si>
  <si>
    <t>MERCADOS</t>
  </si>
  <si>
    <t>HIDRSANITARIA</t>
  </si>
  <si>
    <t>MEJORAMIENTO A LA VIVIENDA</t>
  </si>
  <si>
    <t>CENTRO HISTÓRICO</t>
  </si>
  <si>
    <t>MOVILIDAD URBANA</t>
  </si>
  <si>
    <t>SERVICIOS RELACIONADOS</t>
  </si>
  <si>
    <t>REHABILITACION VIAL</t>
  </si>
  <si>
    <t>CENTRO DE ATENCIÓN MUNICIPAL</t>
  </si>
  <si>
    <t>ZONA MILITAR</t>
  </si>
  <si>
    <t>PAVIMENTACION</t>
  </si>
  <si>
    <t>ZONA INUNDABLE</t>
  </si>
  <si>
    <t>BACHILLERATO TÉCNOLOGICO</t>
  </si>
  <si>
    <t>MEDIO AMBIENTE</t>
  </si>
  <si>
    <t>22 TECHADOS ESCOLARES</t>
  </si>
  <si>
    <t>MERCADO SAN RAMON</t>
  </si>
  <si>
    <t>PUENTE VEHICULAR "LA PANGA" (TRANSFERENCIA DE RECURSOS)</t>
  </si>
  <si>
    <t>META GENERAL</t>
  </si>
  <si>
    <t>UNIDAD DE MEDIDA</t>
  </si>
  <si>
    <t>RUBRO</t>
  </si>
  <si>
    <t>AÑO</t>
  </si>
  <si>
    <t>M2</t>
  </si>
  <si>
    <t>M</t>
  </si>
  <si>
    <t>}</t>
  </si>
  <si>
    <t>#</t>
  </si>
  <si>
    <t>Etiquetas de fila</t>
  </si>
  <si>
    <t>Total general</t>
  </si>
  <si>
    <t>FAISMUN DF 2024</t>
  </si>
  <si>
    <t>FAISMUN DF 2025</t>
  </si>
  <si>
    <t>FORTAMUN DF 2025
PARTICIPACIONES FEDERALES 2025</t>
  </si>
  <si>
    <t>FORTAMUN DF 2025</t>
  </si>
  <si>
    <t xml:space="preserve">FAISMUN DF 2025 FAISMUN DF 2025 (INTERESES) </t>
  </si>
  <si>
    <t xml:space="preserve">FAISMUN DF 2025 (INTERESES) </t>
  </si>
  <si>
    <t>FAISMUN DF 2025
RECURSOS PROPIOS 
PARTICIPACIONES FEDERALES 2025</t>
  </si>
  <si>
    <t>FAISMUN DF 2025/PARTICIPACIONES FEDERALES 2025</t>
  </si>
  <si>
    <t>RECURSOS PROPIOS - RECURSOS FEDERALES</t>
  </si>
  <si>
    <t>FAISMUN 2024 /
FARISMUN 2024 (INTERESES)
RECURSOS PROPIOS</t>
  </si>
  <si>
    <t>PUENTE VEHICULAR</t>
  </si>
  <si>
    <t>POA</t>
  </si>
  <si>
    <t>SI</t>
  </si>
  <si>
    <t>NO</t>
  </si>
  <si>
    <t>Presupuesto Aprobado 2025</t>
  </si>
  <si>
    <t>Presupuesto 2025 (Contratado)</t>
  </si>
  <si>
    <t>Inversión Pública (Capitulo 6000
INVERSION PUBLICA</t>
  </si>
  <si>
    <t>Cuenta de FONDO</t>
  </si>
  <si>
    <t>LA LIBERTAD-SAN JERONIMO CALERAS</t>
  </si>
  <si>
    <t>IGNACIO ROMERO VARGAS</t>
  </si>
  <si>
    <t>JUNTAS AUXILIARES</t>
  </si>
  <si>
    <t>SAN PEDRO ZACACHIMALPA</t>
  </si>
  <si>
    <t>ZONA METROPOLITANA</t>
  </si>
  <si>
    <t>SAN FRANCISCO TEOTIMEHUACAN</t>
  </si>
  <si>
    <t>SAN BALTAZAR CAMPECHE</t>
  </si>
  <si>
    <t>SAN JERONIMO CALERAS</t>
  </si>
  <si>
    <t>SAN PABLO XOCHIMEHUACAN</t>
  </si>
  <si>
    <t>SAN BALTAZAR TETELA</t>
  </si>
  <si>
    <t>IGNACIO ZARAGOZA</t>
  </si>
  <si>
    <t>SAN XOCHIMEHUACAN</t>
  </si>
  <si>
    <t>#¡VALOR!</t>
  </si>
  <si>
    <t>(en blanco)</t>
  </si>
  <si>
    <t>Suma de OBRA</t>
  </si>
  <si>
    <t>Suma de RECURSOS ESTATAL</t>
  </si>
  <si>
    <t>Suma de RECURSOS FEDERAL</t>
  </si>
  <si>
    <t>Suma de RECURSOS MUNICIPIO</t>
  </si>
  <si>
    <t>Suma de MONTO CONTRATO</t>
  </si>
  <si>
    <t>Suma de AVANCE FÍSICO</t>
  </si>
  <si>
    <t>SAN MIGUEL CANOA</t>
  </si>
  <si>
    <t>SAN FRANCISCO TOTIMEHUACAN</t>
  </si>
  <si>
    <t>SAN SEBASTIAN DE APARICIO</t>
  </si>
  <si>
    <t>DIVERSAS JUNTAS AUXILARES</t>
  </si>
  <si>
    <t>CANTIDAD DE OBRAS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</si>
</sst>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9" x14ac:knownFonts="1">
    <font>
      <sz val="11"/>
      <color theme="1"/>
      <name val="Calibri"/>
      <family val="2"/>
      <scheme val="minor"/>
    </font>
    <font>
      <sz val="11"/>
      <color theme="1"/>
      <name val="Calibri"/>
      <family val="2"/>
      <scheme val="minor"/>
    </font>
    <font>
      <sz val="10"/>
      <color theme="1"/>
      <name val="Arial"/>
      <family val="2"/>
    </font>
    <font>
      <sz val="9"/>
      <color theme="1"/>
      <name val="Arial"/>
      <family val="2"/>
    </font>
    <font>
      <sz val="11"/>
      <color theme="1"/>
      <name val="Arial"/>
      <family val="2"/>
    </font>
    <font>
      <b/>
      <sz val="11"/>
      <color theme="0"/>
      <name val="Arial"/>
      <family val="2"/>
    </font>
    <font>
      <sz val="11"/>
      <color rgb="FF000000"/>
      <name val="Arial"/>
      <family val="2"/>
    </font>
    <font>
      <b/>
      <sz val="14"/>
      <color rgb="FF000000"/>
      <name val="Arial"/>
      <family val="2"/>
    </font>
    <font>
      <b/>
      <sz val="12"/>
      <color theme="1"/>
      <name val="Arial"/>
      <family val="2"/>
    </font>
    <font>
      <b/>
      <sz val="11"/>
      <color theme="1"/>
      <name val="Arial"/>
      <family val="2"/>
    </font>
    <font>
      <sz val="12"/>
      <color rgb="FF000000"/>
      <name val="Arial"/>
      <family val="2"/>
    </font>
    <font>
      <b/>
      <sz val="12"/>
      <color rgb="FF000000"/>
      <name val="Arial"/>
      <family val="2"/>
    </font>
    <font>
      <sz val="12"/>
      <color theme="1"/>
      <name val="Arial"/>
      <family val="2"/>
    </font>
    <font>
      <b/>
      <sz val="13"/>
      <color rgb="FF000000"/>
      <name val="Arial"/>
      <family val="2"/>
    </font>
    <font>
      <b/>
      <sz val="16"/>
      <color theme="1"/>
      <name val="Arial"/>
      <family val="2"/>
    </font>
    <font>
      <sz val="12"/>
      <color rgb="FFFF0000"/>
      <name val="Arial"/>
      <family val="2"/>
    </font>
    <font>
      <b/>
      <sz val="13"/>
      <color theme="1"/>
      <name val="Arial"/>
      <family val="2"/>
    </font>
    <font>
      <sz val="13"/>
      <color rgb="FF000000"/>
      <name val="Arial"/>
      <family val="2"/>
    </font>
    <font>
      <sz val="13"/>
      <color theme="1"/>
      <name val="Arial"/>
      <family val="2"/>
    </font>
  </fonts>
  <fills count="9">
    <fill>
      <patternFill patternType="none"/>
    </fill>
    <fill>
      <patternFill patternType="gray125"/>
    </fill>
    <fill>
      <patternFill patternType="solid">
        <fgColor theme="0"/>
        <bgColor indexed="64"/>
      </patternFill>
    </fill>
    <fill>
      <patternFill patternType="solid">
        <fgColor rgb="FF911F2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9" tint="0.39997558519241921"/>
        <bgColor indexed="64"/>
      </patternFill>
    </fill>
  </fills>
  <borders count="12">
    <border>
      <left/>
      <right/>
      <top/>
      <bottom/>
      <diagonal/>
    </border>
    <border>
      <left style="thin">
        <color indexed="64"/>
      </left>
      <right style="thin">
        <color indexed="64"/>
      </right>
      <top style="thin">
        <color indexed="64"/>
      </top>
      <bottom/>
      <diagonal/>
    </border>
    <border>
      <left style="medium">
        <color rgb="FFA5A5A5"/>
      </left>
      <right style="medium">
        <color rgb="FFA5A5A5"/>
      </right>
      <top style="medium">
        <color rgb="FFA5A5A5"/>
      </top>
      <bottom style="medium">
        <color rgb="FFA5A5A5"/>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medium">
        <color rgb="FFA5A5A5"/>
      </bottom>
      <diagonal/>
    </border>
    <border>
      <left style="thin">
        <color indexed="64"/>
      </left>
      <right/>
      <top/>
      <bottom style="medium">
        <color rgb="FFA5A5A5"/>
      </bottom>
      <diagonal/>
    </border>
    <border>
      <left/>
      <right/>
      <top style="medium">
        <color rgb="FFA5A5A5"/>
      </top>
      <bottom/>
      <diagonal/>
    </border>
    <border>
      <left/>
      <right style="medium">
        <color rgb="FFA5A5A5"/>
      </right>
      <top style="medium">
        <color rgb="FFA5A5A5"/>
      </top>
      <bottom/>
      <diagonal/>
    </border>
    <border>
      <left style="medium">
        <color rgb="FFA5A5A5"/>
      </left>
      <right/>
      <top style="medium">
        <color rgb="FFA5A5A5"/>
      </top>
      <bottom style="medium">
        <color rgb="FFA5A5A5"/>
      </bottom>
      <diagonal/>
    </border>
    <border>
      <left/>
      <right style="medium">
        <color rgb="FFA5A5A5"/>
      </right>
      <top style="medium">
        <color rgb="FFA5A5A5"/>
      </top>
      <bottom style="medium">
        <color rgb="FFA5A5A5"/>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76">
    <xf numFmtId="0" fontId="0" fillId="0" borderId="0" xfId="0"/>
    <xf numFmtId="0" fontId="3" fillId="2" borderId="0" xfId="0" applyFont="1" applyFill="1" applyAlignment="1">
      <alignment horizontal="justify" vertical="center"/>
    </xf>
    <xf numFmtId="0" fontId="3" fillId="2" borderId="0" xfId="0" applyFont="1" applyFill="1" applyAlignment="1">
      <alignment horizontal="center" vertical="center"/>
    </xf>
    <xf numFmtId="0" fontId="3" fillId="2" borderId="0" xfId="0" applyFont="1" applyFill="1" applyAlignment="1">
      <alignment horizontal="center"/>
    </xf>
    <xf numFmtId="0" fontId="2" fillId="2" borderId="0" xfId="0" applyFont="1" applyFill="1" applyAlignment="1">
      <alignment horizontal="center"/>
    </xf>
    <xf numFmtId="0" fontId="4" fillId="2" borderId="0" xfId="0" applyFont="1" applyFill="1"/>
    <xf numFmtId="4" fontId="5" fillId="3" borderId="1" xfId="0" applyNumberFormat="1" applyFont="1" applyFill="1" applyBorder="1" applyAlignment="1">
      <alignment horizontal="center" vertical="center" wrapText="1"/>
    </xf>
    <xf numFmtId="0" fontId="6" fillId="0" borderId="2" xfId="0" applyFont="1" applyBorder="1" applyAlignment="1">
      <alignment horizontal="center" vertical="center" wrapText="1" readingOrder="1"/>
    </xf>
    <xf numFmtId="0" fontId="3" fillId="2" borderId="0" xfId="0" applyFont="1" applyFill="1"/>
    <xf numFmtId="0" fontId="2" fillId="2" borderId="0" xfId="0" applyFont="1" applyFill="1" applyAlignment="1">
      <alignment horizontal="center" vertical="center"/>
    </xf>
    <xf numFmtId="0" fontId="4" fillId="2" borderId="0" xfId="0" applyFont="1" applyFill="1" applyAlignment="1">
      <alignment horizontal="center" vertical="center"/>
    </xf>
    <xf numFmtId="9" fontId="8" fillId="2" borderId="2" xfId="2" applyFont="1" applyFill="1" applyBorder="1" applyAlignment="1">
      <alignment horizontal="center" vertical="center" wrapText="1"/>
    </xf>
    <xf numFmtId="0" fontId="9" fillId="2" borderId="0" xfId="0" applyFont="1" applyFill="1" applyAlignment="1">
      <alignment horizontal="center" vertical="center"/>
    </xf>
    <xf numFmtId="4" fontId="5" fillId="3" borderId="0" xfId="0" applyNumberFormat="1" applyFont="1" applyFill="1" applyAlignment="1">
      <alignment horizontal="center" vertical="center" wrapText="1"/>
    </xf>
    <xf numFmtId="44" fontId="3" fillId="2" borderId="0" xfId="1" applyFont="1" applyFill="1" applyAlignment="1">
      <alignment horizontal="center"/>
    </xf>
    <xf numFmtId="44" fontId="3" fillId="2" borderId="0" xfId="1" applyFont="1" applyFill="1"/>
    <xf numFmtId="44" fontId="7" fillId="4" borderId="2" xfId="1" applyFont="1" applyFill="1" applyBorder="1" applyAlignment="1">
      <alignment horizontal="center" vertical="center" wrapText="1" readingOrder="1"/>
    </xf>
    <xf numFmtId="0" fontId="10" fillId="0" borderId="2" xfId="0" applyFont="1" applyBorder="1" applyAlignment="1">
      <alignment horizontal="center" vertical="center" wrapText="1" readingOrder="1"/>
    </xf>
    <xf numFmtId="0" fontId="11" fillId="0" borderId="2" xfId="0" applyFont="1" applyBorder="1" applyAlignment="1">
      <alignment horizontal="center" vertical="center" wrapText="1" readingOrder="1"/>
    </xf>
    <xf numFmtId="0" fontId="10" fillId="0" borderId="2" xfId="0" applyFont="1" applyBorder="1" applyAlignment="1">
      <alignment horizontal="justify" vertical="justify" wrapText="1" readingOrder="1"/>
    </xf>
    <xf numFmtId="0" fontId="10" fillId="0" borderId="2" xfId="0" applyFont="1" applyBorder="1" applyAlignment="1">
      <alignment horizontal="justify" vertical="center" wrapText="1" readingOrder="1"/>
    </xf>
    <xf numFmtId="44" fontId="10" fillId="0" borderId="2" xfId="1" applyFont="1" applyFill="1" applyBorder="1" applyAlignment="1">
      <alignment vertical="center" wrapText="1" readingOrder="1"/>
    </xf>
    <xf numFmtId="44" fontId="12" fillId="2" borderId="2" xfId="3" applyFont="1" applyFill="1" applyBorder="1" applyAlignment="1">
      <alignment vertical="center" wrapText="1"/>
    </xf>
    <xf numFmtId="9" fontId="12" fillId="2" borderId="2" xfId="2" applyFont="1" applyFill="1" applyBorder="1" applyAlignment="1">
      <alignment horizontal="center" vertical="center" wrapText="1"/>
    </xf>
    <xf numFmtId="0" fontId="12" fillId="2" borderId="0" xfId="0" applyFont="1" applyFill="1" applyAlignment="1">
      <alignment horizontal="center" vertical="center"/>
    </xf>
    <xf numFmtId="0" fontId="12" fillId="2" borderId="0" xfId="0" applyFont="1" applyFill="1"/>
    <xf numFmtId="44" fontId="13" fillId="0" borderId="2" xfId="1" applyFont="1" applyFill="1" applyBorder="1" applyAlignment="1">
      <alignment vertical="center" wrapText="1" readingOrder="1"/>
    </xf>
    <xf numFmtId="0" fontId="9" fillId="2" borderId="0" xfId="0" applyFont="1" applyFill="1" applyAlignment="1">
      <alignment vertical="center"/>
    </xf>
    <xf numFmtId="0" fontId="6" fillId="0" borderId="0" xfId="0" applyFont="1" applyAlignment="1">
      <alignment horizontal="center" vertical="center" wrapText="1" readingOrder="1"/>
    </xf>
    <xf numFmtId="0" fontId="11" fillId="0" borderId="0" xfId="0" applyFont="1" applyAlignment="1">
      <alignment horizontal="center" vertical="center" wrapText="1" readingOrder="1"/>
    </xf>
    <xf numFmtId="0" fontId="10" fillId="0" borderId="0" xfId="0" applyFont="1" applyAlignment="1">
      <alignment horizontal="justify" vertical="justify" wrapText="1" readingOrder="1"/>
    </xf>
    <xf numFmtId="0" fontId="10" fillId="0" borderId="0" xfId="0" applyFont="1" applyAlignment="1">
      <alignment horizontal="justify" vertical="center" wrapText="1" readingOrder="1"/>
    </xf>
    <xf numFmtId="0" fontId="10" fillId="0" borderId="0" xfId="0" applyFont="1" applyAlignment="1">
      <alignment horizontal="center" vertical="center" wrapText="1" readingOrder="1"/>
    </xf>
    <xf numFmtId="0" fontId="14" fillId="2" borderId="0" xfId="0" applyFont="1" applyFill="1" applyAlignment="1">
      <alignment horizontal="right" vertical="center"/>
    </xf>
    <xf numFmtId="0" fontId="4" fillId="6" borderId="0" xfId="0" applyFont="1" applyFill="1" applyAlignment="1">
      <alignment horizontal="right"/>
    </xf>
    <xf numFmtId="44" fontId="4" fillId="2" borderId="0" xfId="0" applyNumberFormat="1" applyFont="1" applyFill="1"/>
    <xf numFmtId="44" fontId="18" fillId="0" borderId="2" xfId="1" applyFont="1" applyFill="1" applyBorder="1" applyAlignment="1">
      <alignment vertical="center" wrapText="1" readingOrder="1"/>
    </xf>
    <xf numFmtId="0" fontId="9" fillId="2" borderId="0" xfId="0" applyFont="1" applyFill="1" applyAlignment="1">
      <alignment horizontal="justify" vertical="center"/>
    </xf>
    <xf numFmtId="0" fontId="2" fillId="7" borderId="0" xfId="0" applyFont="1" applyFill="1" applyAlignment="1">
      <alignment horizontal="center" vertical="center"/>
    </xf>
    <xf numFmtId="0" fontId="2" fillId="5" borderId="0" xfId="0" applyFont="1" applyFill="1" applyAlignment="1">
      <alignment horizontal="center" vertical="center"/>
    </xf>
    <xf numFmtId="10" fontId="12" fillId="2" borderId="2" xfId="2" applyNumberFormat="1" applyFont="1" applyFill="1" applyBorder="1" applyAlignment="1">
      <alignment horizontal="center" vertical="center" wrapText="1"/>
    </xf>
    <xf numFmtId="0" fontId="11" fillId="2" borderId="2" xfId="0" applyFont="1" applyFill="1" applyBorder="1" applyAlignment="1">
      <alignment horizontal="center" vertical="center" wrapText="1" readingOrder="1"/>
    </xf>
    <xf numFmtId="0" fontId="15" fillId="6" borderId="2" xfId="0" applyFont="1" applyFill="1" applyBorder="1" applyAlignment="1">
      <alignment horizontal="justify" vertical="center" wrapText="1" readingOrder="1"/>
    </xf>
    <xf numFmtId="0" fontId="10" fillId="0" borderId="2" xfId="0" applyFont="1" applyBorder="1" applyAlignment="1">
      <alignment horizontal="left" vertical="center" wrapText="1" readingOrder="1"/>
    </xf>
    <xf numFmtId="4" fontId="5" fillId="3" borderId="5" xfId="0" applyNumberFormat="1" applyFont="1" applyFill="1" applyBorder="1" applyAlignment="1">
      <alignment vertical="center" wrapText="1"/>
    </xf>
    <xf numFmtId="4" fontId="5" fillId="3" borderId="4" xfId="0" applyNumberFormat="1" applyFont="1" applyFill="1" applyBorder="1" applyAlignment="1">
      <alignment vertical="center" wrapText="1"/>
    </xf>
    <xf numFmtId="4" fontId="5" fillId="3" borderId="3" xfId="0" applyNumberFormat="1" applyFont="1" applyFill="1" applyBorder="1" applyAlignment="1">
      <alignment vertical="center" wrapText="1"/>
    </xf>
    <xf numFmtId="4" fontId="12" fillId="2" borderId="2" xfId="2" applyNumberFormat="1" applyFont="1" applyFill="1" applyBorder="1" applyAlignment="1">
      <alignment horizontal="center" vertical="center" wrapText="1"/>
    </xf>
    <xf numFmtId="44" fontId="10" fillId="0" borderId="2" xfId="1" applyFont="1" applyFill="1" applyBorder="1" applyAlignment="1">
      <alignment horizontal="center" vertical="center" wrapText="1" readingOrder="1"/>
    </xf>
    <xf numFmtId="44" fontId="12" fillId="0" borderId="2" xfId="3" applyFont="1" applyFill="1" applyBorder="1" applyAlignment="1">
      <alignment vertical="center" wrapText="1"/>
    </xf>
    <xf numFmtId="9" fontId="12" fillId="0" borderId="2" xfId="2" applyFont="1" applyFill="1" applyBorder="1" applyAlignment="1">
      <alignment horizontal="center" vertical="center" wrapText="1"/>
    </xf>
    <xf numFmtId="4" fontId="12" fillId="0" borderId="2" xfId="2" applyNumberFormat="1" applyFont="1" applyFill="1" applyBorder="1" applyAlignment="1">
      <alignment horizontal="center" vertical="center" wrapText="1"/>
    </xf>
    <xf numFmtId="44" fontId="17" fillId="0" borderId="2" xfId="1" applyFont="1" applyFill="1" applyBorder="1" applyAlignment="1">
      <alignment vertical="center" wrapText="1" readingOrder="1"/>
    </xf>
    <xf numFmtId="0" fontId="10" fillId="0" borderId="10" xfId="0" applyFont="1" applyBorder="1" applyAlignment="1">
      <alignment horizontal="justify" vertical="center" wrapText="1" readingOrder="1"/>
    </xf>
    <xf numFmtId="3" fontId="12" fillId="0" borderId="2" xfId="2" applyNumberFormat="1" applyFont="1" applyFill="1" applyBorder="1" applyAlignment="1">
      <alignment horizontal="center" vertical="center" wrapText="1"/>
    </xf>
    <xf numFmtId="8" fontId="12" fillId="0" borderId="2" xfId="3" applyNumberFormat="1" applyFont="1" applyFill="1" applyBorder="1" applyAlignment="1">
      <alignment vertical="center" wrapText="1"/>
    </xf>
    <xf numFmtId="44" fontId="16" fillId="0" borderId="2" xfId="1" applyFont="1" applyFill="1" applyBorder="1" applyAlignment="1">
      <alignment vertical="center" wrapText="1" readingOrder="1"/>
    </xf>
    <xf numFmtId="0" fontId="10" fillId="0" borderId="11" xfId="0" applyFont="1" applyBorder="1" applyAlignment="1">
      <alignment horizontal="center" vertical="center" wrapText="1" readingOrder="1"/>
    </xf>
    <xf numFmtId="0" fontId="0" fillId="0" borderId="0" xfId="0" pivotButton="1"/>
    <xf numFmtId="0" fontId="0" fillId="0" borderId="0" xfId="0" applyAlignment="1">
      <alignment horizontal="left"/>
    </xf>
    <xf numFmtId="0" fontId="15" fillId="0" borderId="10" xfId="0" applyFont="1" applyBorder="1" applyAlignment="1">
      <alignment horizontal="justify" vertical="center" wrapText="1" readingOrder="1"/>
    </xf>
    <xf numFmtId="0" fontId="10" fillId="6" borderId="2" xfId="0" applyFont="1" applyFill="1" applyBorder="1" applyAlignment="1">
      <alignment horizontal="justify" vertical="justify" wrapText="1" readingOrder="1"/>
    </xf>
    <xf numFmtId="0" fontId="0" fillId="6" borderId="0" xfId="0" applyFill="1"/>
    <xf numFmtId="0" fontId="0" fillId="8" borderId="0" xfId="0" applyFill="1"/>
    <xf numFmtId="0" fontId="0" fillId="0" borderId="0" xfId="0" applyAlignment="1">
      <alignment wrapText="1"/>
    </xf>
    <xf numFmtId="8" fontId="0" fillId="0" borderId="0" xfId="0" applyNumberFormat="1"/>
    <xf numFmtId="0" fontId="0" fillId="0" borderId="0" xfId="0" applyAlignment="1">
      <alignment horizontal="left" indent="1"/>
    </xf>
    <xf numFmtId="0" fontId="0" fillId="0" borderId="0" xfId="0" applyAlignment="1">
      <alignment horizontal="left" indent="2"/>
    </xf>
    <xf numFmtId="44" fontId="0" fillId="0" borderId="0" xfId="0" applyNumberFormat="1"/>
    <xf numFmtId="4" fontId="5" fillId="3" borderId="5" xfId="0" applyNumberFormat="1" applyFont="1" applyFill="1" applyBorder="1" applyAlignment="1">
      <alignment horizontal="center" vertical="center" wrapText="1"/>
    </xf>
    <xf numFmtId="4" fontId="5" fillId="3" borderId="6" xfId="0" applyNumberFormat="1" applyFont="1" applyFill="1" applyBorder="1" applyAlignment="1">
      <alignment horizontal="center" vertical="center" wrapText="1"/>
    </xf>
    <xf numFmtId="4" fontId="5" fillId="3" borderId="3" xfId="0" applyNumberFormat="1" applyFont="1" applyFill="1" applyBorder="1" applyAlignment="1">
      <alignment horizontal="center" vertical="center" wrapText="1"/>
    </xf>
    <xf numFmtId="4" fontId="5" fillId="3" borderId="7" xfId="0" applyNumberFormat="1" applyFont="1" applyFill="1" applyBorder="1" applyAlignment="1">
      <alignment horizontal="center" vertical="center" wrapText="1"/>
    </xf>
    <xf numFmtId="0" fontId="11" fillId="5" borderId="8" xfId="0" applyFont="1" applyFill="1" applyBorder="1" applyAlignment="1">
      <alignment horizontal="center" vertical="center" wrapText="1" readingOrder="1"/>
    </xf>
    <xf numFmtId="0" fontId="11" fillId="5" borderId="9" xfId="0" applyFont="1" applyFill="1" applyBorder="1" applyAlignment="1">
      <alignment horizontal="center" vertical="center" wrapText="1" readingOrder="1"/>
    </xf>
    <xf numFmtId="0" fontId="12" fillId="0" borderId="2" xfId="2" applyNumberFormat="1" applyFont="1" applyFill="1" applyBorder="1" applyAlignment="1">
      <alignment horizontal="center" vertical="center" wrapText="1"/>
    </xf>
  </cellXfs>
  <cellStyles count="4">
    <cellStyle name="Moneda" xfId="1" builtinId="4"/>
    <cellStyle name="Moneda 2" xfId="3" xr:uid="{D3FF1505-5875-4336-AD9B-94748B994C56}"/>
    <cellStyle name="Normal" xfId="0" builtinId="0"/>
    <cellStyle name="Porcentaje" xfId="2" builtinId="5"/>
  </cellStyles>
  <dxfs count="0"/>
  <tableStyles count="0" defaultTableStyle="TableStyleMedium2" defaultPivotStyle="PivotStyleLight16"/>
  <colors>
    <mruColors>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Hoja2!$D$22</c:f>
              <c:strCache>
                <c:ptCount val="1"/>
                <c:pt idx="0">
                  <c:v>Inversión Pública (Capitulo 6000
INVERSION PUBLICA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Hoja2!$E$21:$F$21</c:f>
              <c:strCache>
                <c:ptCount val="2"/>
                <c:pt idx="0">
                  <c:v>Presupuesto Aprobado 2025</c:v>
                </c:pt>
                <c:pt idx="1">
                  <c:v>Presupuesto 2025 (Contratado)</c:v>
                </c:pt>
              </c:strCache>
            </c:strRef>
          </c:cat>
          <c:val>
            <c:numRef>
              <c:f>Hoja2!$E$22:$F$22</c:f>
              <c:numCache>
                <c:formatCode>"$"#,##0.00_);[Red]\("$"#,##0.00\)</c:formatCode>
                <c:ptCount val="2"/>
                <c:pt idx="0">
                  <c:v>453706171</c:v>
                </c:pt>
                <c:pt idx="1">
                  <c:v>846487762.5</c:v>
                </c:pt>
              </c:numCache>
            </c:numRef>
          </c:val>
          <c:extLst>
            <c:ext xmlns:c16="http://schemas.microsoft.com/office/drawing/2014/chart" uri="{C3380CC4-5D6E-409C-BE32-E72D297353CC}">
              <c16:uniqueId val="{00000000-ED1F-4D68-A2B4-FC15DB2A95A5}"/>
            </c:ext>
          </c:extLst>
        </c:ser>
        <c:dLbls>
          <c:showLegendKey val="0"/>
          <c:showVal val="1"/>
          <c:showCatName val="0"/>
          <c:showSerName val="0"/>
          <c:showPercent val="0"/>
          <c:showBubbleSize val="0"/>
        </c:dLbls>
        <c:gapWidth val="75"/>
        <c:axId val="1644851199"/>
        <c:axId val="1644844959"/>
      </c:barChart>
      <c:catAx>
        <c:axId val="164485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44844959"/>
        <c:crosses val="autoZero"/>
        <c:auto val="1"/>
        <c:lblAlgn val="ctr"/>
        <c:lblOffset val="100"/>
        <c:noMultiLvlLbl val="0"/>
      </c:catAx>
      <c:valAx>
        <c:axId val="1644844959"/>
        <c:scaling>
          <c:orientation val="minMax"/>
        </c:scaling>
        <c:delete val="0"/>
        <c:axPos val="b"/>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4485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20585631341536853"/>
          <c:y val="1.8127127673397261E-2"/>
          <c:w val="0.74796764040858532"/>
          <c:h val="0.74462617915334839"/>
        </c:manualLayout>
      </c:layout>
      <c:barChart>
        <c:barDir val="col"/>
        <c:grouping val="clustered"/>
        <c:varyColors val="0"/>
        <c:ser>
          <c:idx val="0"/>
          <c:order val="0"/>
          <c:tx>
            <c:strRef>
              <c:f>Hoja2!$D$22</c:f>
              <c:strCache>
                <c:ptCount val="1"/>
                <c:pt idx="0">
                  <c:v>Inversión Pública (Capitulo 6000
INVERSION PUBLICA</c:v>
                </c:pt>
              </c:strCache>
            </c:strRef>
          </c:tx>
          <c:spPr>
            <a:solidFill>
              <a:schemeClr val="accent1"/>
            </a:solidFill>
            <a:ln>
              <a:noFill/>
            </a:ln>
            <a:effectLst/>
          </c:spPr>
          <c:invertIfNegative val="0"/>
          <c:cat>
            <c:strRef>
              <c:f>Hoja2!$E$21:$F$21</c:f>
              <c:strCache>
                <c:ptCount val="2"/>
                <c:pt idx="0">
                  <c:v>Presupuesto Aprobado 2025</c:v>
                </c:pt>
                <c:pt idx="1">
                  <c:v>Presupuesto 2025 (Contratado)</c:v>
                </c:pt>
              </c:strCache>
            </c:strRef>
          </c:cat>
          <c:val>
            <c:numRef>
              <c:f>Hoja2!$E$22:$F$22</c:f>
              <c:numCache>
                <c:formatCode>"$"#,##0.00_);[Red]\("$"#,##0.00\)</c:formatCode>
                <c:ptCount val="2"/>
                <c:pt idx="0">
                  <c:v>453706171</c:v>
                </c:pt>
                <c:pt idx="1">
                  <c:v>846487762.5</c:v>
                </c:pt>
              </c:numCache>
            </c:numRef>
          </c:val>
          <c:extLst>
            <c:ext xmlns:c16="http://schemas.microsoft.com/office/drawing/2014/chart" uri="{C3380CC4-5D6E-409C-BE32-E72D297353CC}">
              <c16:uniqueId val="{00000000-C92F-4136-8D6F-1340EA2ED003}"/>
            </c:ext>
          </c:extLst>
        </c:ser>
        <c:dLbls>
          <c:showLegendKey val="0"/>
          <c:showVal val="0"/>
          <c:showCatName val="0"/>
          <c:showSerName val="0"/>
          <c:showPercent val="0"/>
          <c:showBubbleSize val="0"/>
        </c:dLbls>
        <c:gapWidth val="219"/>
        <c:overlap val="-27"/>
        <c:axId val="1449253647"/>
        <c:axId val="1449249807"/>
      </c:barChart>
      <c:catAx>
        <c:axId val="14492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49249807"/>
        <c:crosses val="autoZero"/>
        <c:auto val="1"/>
        <c:lblAlgn val="ctr"/>
        <c:lblOffset val="100"/>
        <c:noMultiLvlLbl val="0"/>
      </c:catAx>
      <c:valAx>
        <c:axId val="1449249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49253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66674</xdr:colOff>
      <xdr:row>3</xdr:row>
      <xdr:rowOff>168592</xdr:rowOff>
    </xdr:from>
    <xdr:to>
      <xdr:col>20</xdr:col>
      <xdr:colOff>158115</xdr:colOff>
      <xdr:row>19</xdr:row>
      <xdr:rowOff>16192</xdr:rowOff>
    </xdr:to>
    <xdr:graphicFrame macro="">
      <xdr:nvGraphicFramePr>
        <xdr:cNvPr id="2" name="Gráfico 1">
          <a:extLst>
            <a:ext uri="{FF2B5EF4-FFF2-40B4-BE49-F238E27FC236}">
              <a16:creationId xmlns:a16="http://schemas.microsoft.com/office/drawing/2014/main" id="{B772E2D6-CB89-5382-D69B-A87A12A9F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11</xdr:row>
      <xdr:rowOff>157162</xdr:rowOff>
    </xdr:from>
    <xdr:to>
      <xdr:col>14</xdr:col>
      <xdr:colOff>133350</xdr:colOff>
      <xdr:row>27</xdr:row>
      <xdr:rowOff>4762</xdr:rowOff>
    </xdr:to>
    <xdr:graphicFrame macro="">
      <xdr:nvGraphicFramePr>
        <xdr:cNvPr id="3" name="Gráfico 2">
          <a:extLst>
            <a:ext uri="{FF2B5EF4-FFF2-40B4-BE49-F238E27FC236}">
              <a16:creationId xmlns:a16="http://schemas.microsoft.com/office/drawing/2014/main" id="{4FC201FC-0744-89D7-3153-56210D2E3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2845593</xdr:colOff>
      <xdr:row>0</xdr:row>
      <xdr:rowOff>86745</xdr:rowOff>
    </xdr:from>
    <xdr:to>
      <xdr:col>19</xdr:col>
      <xdr:colOff>1152525</xdr:colOff>
      <xdr:row>3</xdr:row>
      <xdr:rowOff>38100</xdr:rowOff>
    </xdr:to>
    <xdr:sp macro="" textlink="">
      <xdr:nvSpPr>
        <xdr:cNvPr id="2" name="CuadroTexto 1">
          <a:extLst>
            <a:ext uri="{FF2B5EF4-FFF2-40B4-BE49-F238E27FC236}">
              <a16:creationId xmlns:a16="http://schemas.microsoft.com/office/drawing/2014/main" id="{F5777AC0-E42D-4D5A-A6B5-6927EC09DAFB}"/>
            </a:ext>
          </a:extLst>
        </xdr:cNvPr>
        <xdr:cNvSpPr txBox="1"/>
      </xdr:nvSpPr>
      <xdr:spPr>
        <a:xfrm>
          <a:off x="3917156" y="86745"/>
          <a:ext cx="19940588"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2400" b="1">
              <a:latin typeface="Arial" panose="020B0604020202020204" pitchFamily="34" charset="0"/>
              <a:cs typeface="Arial" panose="020B0604020202020204" pitchFamily="34" charset="0"/>
            </a:rPr>
            <a:t>REPORTE DE</a:t>
          </a:r>
          <a:r>
            <a:rPr lang="es-MX" sz="2400" b="1" baseline="0">
              <a:latin typeface="Arial" panose="020B0604020202020204" pitchFamily="34" charset="0"/>
              <a:cs typeface="Arial" panose="020B0604020202020204" pitchFamily="34" charset="0"/>
            </a:rPr>
            <a:t> CONTRATOS DE OBRA PÚBLICA 2024-2025</a:t>
          </a:r>
          <a:endParaRPr lang="es-MX" sz="24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301626</xdr:colOff>
      <xdr:row>0</xdr:row>
      <xdr:rowOff>86745</xdr:rowOff>
    </xdr:from>
    <xdr:to>
      <xdr:col>11</xdr:col>
      <xdr:colOff>1190625</xdr:colOff>
      <xdr:row>3</xdr:row>
      <xdr:rowOff>38100</xdr:rowOff>
    </xdr:to>
    <xdr:sp macro="" textlink="">
      <xdr:nvSpPr>
        <xdr:cNvPr id="2" name="CuadroTexto 1">
          <a:extLst>
            <a:ext uri="{FF2B5EF4-FFF2-40B4-BE49-F238E27FC236}">
              <a16:creationId xmlns:a16="http://schemas.microsoft.com/office/drawing/2014/main" id="{2F068593-4908-41EF-92F0-156CAB56C15E}"/>
            </a:ext>
          </a:extLst>
        </xdr:cNvPr>
        <xdr:cNvSpPr txBox="1"/>
      </xdr:nvSpPr>
      <xdr:spPr>
        <a:xfrm>
          <a:off x="615951" y="86745"/>
          <a:ext cx="23625174" cy="494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2400" b="1">
              <a:latin typeface="Arial" panose="020B0604020202020204" pitchFamily="34" charset="0"/>
              <a:cs typeface="Arial" panose="020B0604020202020204" pitchFamily="34" charset="0"/>
            </a:rPr>
            <a:t>REPORTE DE</a:t>
          </a:r>
          <a:r>
            <a:rPr lang="es-MX" sz="2400" b="1" baseline="0">
              <a:latin typeface="Arial" panose="020B0604020202020204" pitchFamily="34" charset="0"/>
              <a:cs typeface="Arial" panose="020B0604020202020204" pitchFamily="34" charset="0"/>
            </a:rPr>
            <a:t> CONTRATOS DE SERVICIOS 2024-2025</a:t>
          </a:r>
          <a:endParaRPr lang="es-MX" sz="2400" b="1">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O CORONA" refreshedDate="46029.759439351852" createdVersion="8" refreshedVersion="8" minRefreshableVersion="3" recordCount="70" xr:uid="{BC7FFC76-6EF4-453C-A4A8-D6821DFCB817}">
  <cacheSource type="worksheet">
    <worksheetSource ref="A6:U76" sheet="OBRA PUBLICA"/>
  </cacheSource>
  <cacheFields count="21">
    <cacheField name="#" numFmtId="0">
      <sharedItems containsBlank="1" containsMixedTypes="1" containsNumber="1" containsInteger="1" minValue="1" maxValue="11" count="13">
        <e v="#VALUE!"/>
        <n v="1"/>
        <n v="2"/>
        <n v="3"/>
        <n v="4"/>
        <n v="5"/>
        <n v="6"/>
        <n v="7"/>
        <n v="8"/>
        <n v="9"/>
        <n v="10"/>
        <n v="11"/>
        <m/>
      </sharedItems>
    </cacheField>
    <cacheField name="AÑO" numFmtId="0">
      <sharedItems containsSemiMixedTypes="0" containsString="0" containsNumber="1" containsInteger="1" minValue="2024" maxValue="2025" count="2">
        <n v="2024"/>
        <n v="2025"/>
      </sharedItems>
    </cacheField>
    <cacheField name="RUBRO" numFmtId="0">
      <sharedItems count="24">
        <s v="CENTRO HISTÓRICO"/>
        <s v="REHABILITACION VIAL"/>
        <s v="22 TECHADOS ESCOLARES"/>
        <s v="BACHEO"/>
        <s v="MERCADO SAN RAMON"/>
        <s v="PAVIMENTACION"/>
        <s v="ZONA INUNDABLE"/>
        <s v="BACHILLERATO TÉCNOLOGICO"/>
        <s v="HIDRSANITARIA"/>
        <s v="MEJORAMIENTO A LA VIVIENDA"/>
        <s v="MEDIO AMBIENTE"/>
        <s v="PUENTE VEHICULAR &quot;LA PANGA&quot; (TRANSFERENCIA DE RECURSOS)"/>
        <s v="MOVILIDAD URBANA"/>
        <s v="MERCADOS"/>
        <s v="SERVICIOS RELACIONADOS"/>
        <s v="DIF MUNICIPAL"/>
        <s v="CENTRO DE ATENCIÓN MUNICIPAL"/>
        <s v="ZONA MILITAR"/>
        <s v="PUENTE VEHICULAR"/>
        <s v="ZONA INDUNDABLE" u="1"/>
        <s v="BRIGADA URBANA" u="1"/>
        <s v="LIMPIEZA Y DESASOLVE" u="1"/>
        <s v="EMERGENTE" u="1"/>
        <s v="OBRA EMERGENTE" u="1"/>
      </sharedItems>
    </cacheField>
    <cacheField name="OBRA" numFmtId="0">
      <sharedItems containsSemiMixedTypes="0" containsString="0" containsNumber="1" containsInteger="1" minValue="26376" maxValue="250107"/>
    </cacheField>
    <cacheField name="POA" numFmtId="0">
      <sharedItems containsBlank="1" count="3">
        <m/>
        <s v="SI"/>
        <s v="NO"/>
      </sharedItems>
    </cacheField>
    <cacheField name="DESCRIPCIÓN" numFmtId="0">
      <sharedItems longText="1"/>
    </cacheField>
    <cacheField name="CONTRATISTA" numFmtId="0">
      <sharedItems/>
    </cacheField>
    <cacheField name="FONDO" numFmtId="0">
      <sharedItems count="18">
        <s v="CONVENIO ESTADO"/>
        <s v="CONVENIO ESTADO / FAISMUNDF 2024"/>
        <s v="CONVENIO ESTADO / RECURSOS PROPIOS"/>
        <s v="FAISMUN 2024 /_x000a_FARISMUN 2024 (INTERESES)_x000a_RECURSOS PROPIOS"/>
        <s v="FAISMUN DF 2024"/>
        <s v="FAISMUN DF 2025"/>
        <s v="FAISMUN DF 2025 (INTERESES) "/>
        <s v="FAISMUN DF 2025 FAISMUN DF 2025 (INTERESES) "/>
        <s v="FAISMUN DF 2025_x000a_RECURSOS PROPIOS _x000a_PARTICIPACIONES FEDERALES 2025"/>
        <s v="FAISMUN DF 2025/PARTICIPACIONES FEDERALES 2025"/>
        <s v="FORTAMUN DF 2025"/>
        <s v="FORTAMUN DF 2025_x000a_PARTICIPACIONES FEDERALES 2025"/>
        <s v="FORTAMUNDF 2025"/>
        <s v="PARTICIPACIONES FEDERALES"/>
        <s v="PARTICIPACIONES FEDERALES 2025"/>
        <s v="RECURSOS PROPIOS"/>
        <s v="RECURSOS PROPIOS "/>
        <s v="RECURSOS PROPIOS - RECURSOS FEDERALES"/>
      </sharedItems>
    </cacheField>
    <cacheField name="RECURSOS ESTATAL" numFmtId="44">
      <sharedItems containsString="0" containsBlank="1" containsNumber="1" minValue="0" maxValue="60379612.780000001"/>
    </cacheField>
    <cacheField name="RECURSOS FEDERAL" numFmtId="44">
      <sharedItems containsString="0" containsBlank="1" containsNumber="1" minValue="0" maxValue="813700.00000000023"/>
    </cacheField>
    <cacheField name="RECURSOS MUNICIPIO" numFmtId="44">
      <sharedItems containsSemiMixedTypes="0" containsString="0" containsNumber="1" minValue="0" maxValue="154350064.77000001"/>
    </cacheField>
    <cacheField name="MONTO CONTRATO" numFmtId="44">
      <sharedItems containsSemiMixedTypes="0" containsString="0" containsNumber="1" minValue="668293.19999999995" maxValue="154350064.77000001"/>
    </cacheField>
    <cacheField name="AMPLIACIÓN / DEDUCTIVAS" numFmtId="44">
      <sharedItems containsString="0" containsBlank="1" containsNumber="1" minValue="-84288.79" maxValue="18612964.920000002"/>
    </cacheField>
    <cacheField name="MONTO TOTAL" numFmtId="44">
      <sharedItems containsSemiMixedTypes="0" containsString="0" containsNumber="1" minValue="668293.19999999995" maxValue="154350064.77000001"/>
    </cacheField>
    <cacheField name="EJERCIDO" numFmtId="0">
      <sharedItems containsSemiMixedTypes="0" containsString="0" containsNumber="1" minValue="0" maxValue="154350064.77000001"/>
    </cacheField>
    <cacheField name="POR EJERCER" numFmtId="44">
      <sharedItems containsSemiMixedTypes="0" containsString="0" containsNumber="1" minValue="0" maxValue="58334838.469999999"/>
    </cacheField>
    <cacheField name="AVANCE FINANCIERO" numFmtId="9">
      <sharedItems containsSemiMixedTypes="0" containsString="0" containsNumber="1" minValue="0" maxValue="1.0000000000000002"/>
    </cacheField>
    <cacheField name="META GENERAL" numFmtId="0">
      <sharedItems containsBlank="1" containsMixedTypes="1" containsNumber="1" minValue="0" maxValue="31386" count="34">
        <m/>
        <n v="2160"/>
        <n v="2520"/>
        <n v="20384"/>
        <n v="13200"/>
        <n v="12616"/>
        <n v="8835"/>
        <n v="16045"/>
        <n v="1957"/>
        <n v="1778"/>
        <n v="2450"/>
        <n v="1152"/>
        <n v="4593"/>
        <n v="3163"/>
        <n v="450"/>
        <n v="206"/>
        <n v="4752"/>
        <s v="}"/>
        <n v="19823"/>
        <n v="5126.8500000000004"/>
        <n v="11925"/>
        <n v="19975.3"/>
        <n v="3645"/>
        <n v="11518"/>
        <n v="21170.35"/>
        <n v="548.24"/>
        <n v="1911.76"/>
        <n v="13802"/>
        <n v="2068"/>
        <n v="6700"/>
        <n v="13586"/>
        <n v="5283.25"/>
        <n v="0"/>
        <n v="31386"/>
      </sharedItems>
    </cacheField>
    <cacheField name="UNIDAD DE MEDIDA" numFmtId="0">
      <sharedItems containsBlank="1" count="3">
        <m/>
        <s v="M2"/>
        <s v="M"/>
      </sharedItems>
    </cacheField>
    <cacheField name="RECURSOS" numFmtId="0">
      <sharedItems count="12">
        <s v="ESTADO"/>
        <s v="50% MUNICIPIO / 50% ESTADO"/>
        <s v="26% MUNICIPIO / 74% ESTADO"/>
        <s v="22% MUNICIPIO / 78% ESTADO"/>
        <s v="15% MUNICIPIO / 85% ESTADO"/>
        <s v="20% MUNICIPIO / 80% ESTADO"/>
        <s v="60% MUNICIPIO / 40% ESTADO"/>
        <s v="75% MUNICIPIO / 25% ESTADO"/>
        <s v="MUNICIPIO"/>
        <s v="FAISMUN 2025"/>
        <s v="50%ESTADO/50% MUNICIPIO"/>
        <s v="MUNICIPIO / FEDERAL"/>
      </sharedItems>
    </cacheField>
    <cacheField name="AVANCE FÍSICO" numFmtId="9">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x v="0"/>
    <n v="70193"/>
    <x v="0"/>
    <s v="REHABILITACIÓN DEL TEMPLO DE LA CONCORDIA (SANTA VERACRUZ Y SAN FELIPE NERI). EN LA LOCALIDAD DE HEROICA PUEBLA DE ZARAGOZA, MUNICIPIO DE PUEBLA, EN EL ESTADO DE PUEBLA, SEGUNDA ETAPA UBICACIÓN EN CALLE 3 SUR NO. 902 ENTRE CALLE9 PONIENTE Y CALLE 11 PONIENTE , EN LA COLONIA CENTRO DEL MUNICIPIO DE PUEBLA"/>
    <s v="CONSERVACION Y MANTENIMIENTO DE ESPACIO, S.A. DE C.V."/>
    <x v="0"/>
    <n v="1263776.6499999999"/>
    <m/>
    <n v="0"/>
    <n v="1257754.78"/>
    <n v="0"/>
    <n v="1257754.78"/>
    <n v="1257754.78"/>
    <n v="0"/>
    <n v="1"/>
    <x v="0"/>
    <x v="0"/>
    <x v="0"/>
    <n v="1"/>
  </r>
  <r>
    <x v="0"/>
    <x v="0"/>
    <x v="1"/>
    <n v="70195"/>
    <x v="0"/>
    <s v="REHABILITACIÓN DE PAVIMENTO CON CONCRETO ASFÁLTICO EN LA CALLE 27 SUR ENTRE AVENIDA 23 PONIENTE Y CIRCUITO JUAN PABLO II, EN LA LOCALIDAD DE HEROICA PUEBLA DE ZARAGOZA, MUNICIPIO DE PUEBLA, ESTADO DE PUEBLA."/>
    <s v="CONSTRUCTORA SAN MARÓN, S.A. DE C.V."/>
    <x v="0"/>
    <n v="16700143.5"/>
    <m/>
    <n v="0"/>
    <n v="16550113.58"/>
    <n v="150029.92000000001"/>
    <n v="16700143.5"/>
    <n v="16700143.5"/>
    <n v="0"/>
    <n v="1"/>
    <x v="1"/>
    <x v="1"/>
    <x v="0"/>
    <n v="1"/>
  </r>
  <r>
    <x v="0"/>
    <x v="0"/>
    <x v="1"/>
    <n v="70196"/>
    <x v="0"/>
    <s v="RECONSTRUCCIÓN DE PAVIMENTO CON CONCRETO ASFÁLTICO DE LA AVENIDA CAMPO DE TIRO ENTRE LAS CALLES 2 ORIENTE Y 14 ORIENTE, CON UNA LONGITUD DE 240 METROS, EN LA LOCALIDAD DE HEROICA PUEBLA DE ZARAGOZA, MUNICIPIO DE PUEBLA, ESTADO DE PUEBLA. "/>
    <s v="FERGUSAN, S.A. DE C.V."/>
    <x v="0"/>
    <n v="2267790.89"/>
    <m/>
    <n v="0"/>
    <n v="2233042.46"/>
    <n v="0"/>
    <n v="2233042.46"/>
    <n v="2233042.46"/>
    <n v="0"/>
    <n v="1"/>
    <x v="2"/>
    <x v="1"/>
    <x v="0"/>
    <n v="1"/>
  </r>
  <r>
    <x v="0"/>
    <x v="0"/>
    <x v="1"/>
    <n v="70197"/>
    <x v="0"/>
    <s v="REHABILITACIÓN DE PAVIMENTO CON CONCRETO ASFÁLTICO EN LA CALLE 31 SUR ENTRE BOULEVARD ATLIXCO Y CIRCUITO JUAN PABLO II, EN LA LOCALIDAD DE HEROICA PUEBLA DE ZARAGOZA, MUNICIPIO DE PUEBLA, ESTADO DE PUEBLA"/>
    <s v="PACH CONSTRUCCIONES, S.A. DE C.V."/>
    <x v="0"/>
    <n v="26898299.989999998"/>
    <m/>
    <n v="0"/>
    <n v="26683508.129999999"/>
    <n v="214791.86"/>
    <n v="26898299.989999998"/>
    <n v="26898299.989999998"/>
    <n v="0"/>
    <n v="1"/>
    <x v="3"/>
    <x v="1"/>
    <x v="0"/>
    <n v="1"/>
  </r>
  <r>
    <x v="0"/>
    <x v="0"/>
    <x v="2"/>
    <n v="40496"/>
    <x v="0"/>
    <s v="CONSTRUCCIÓN DE TECHADOS EN ESCUELAS PÚBLICAS DE EDUCACIÓN BÁSICA, TECHADO DE 20 X 30 METROS EN XONA EÓLICA TIPO 2, EN LA LOCALIDAD HEROICA PUEBLA DE ZARAGOZA, EN EL MUNICIPIO DE PUEBLA, EN EL ESTADO DE PUEBLA."/>
    <s v="GRUPO BAND Y JLB DE PUEBLA, S.A. DE C.V. "/>
    <x v="1"/>
    <n v="12404044.359999999"/>
    <m/>
    <n v="12404044.369999999"/>
    <n v="24559296.030000001"/>
    <n v="0"/>
    <n v="24559296.030000001"/>
    <n v="24559296.030000001"/>
    <n v="0"/>
    <n v="1"/>
    <x v="4"/>
    <x v="1"/>
    <x v="1"/>
    <n v="1"/>
  </r>
  <r>
    <x v="0"/>
    <x v="0"/>
    <x v="1"/>
    <n v="40497"/>
    <x v="0"/>
    <s v="MODERNIZACIÓN DE LA CALLE LOS PILARES, EN LA JUNTA AUXILIAR DE SAN MIGUEL CANOA EN EL MUNICIPIO DE PUEBLA, DEL KM. 0+000 AL KM 1+577."/>
    <s v="CONSTRUCTORA Y PROMOTORA ARANTE, S.A. DE C.V."/>
    <x v="1"/>
    <n v="17382467.050000001"/>
    <m/>
    <n v="6000000"/>
    <n v="23067954"/>
    <n v="0"/>
    <n v="23067954"/>
    <n v="23067954"/>
    <n v="0"/>
    <n v="1"/>
    <x v="5"/>
    <x v="1"/>
    <x v="2"/>
    <n v="1"/>
  </r>
  <r>
    <x v="0"/>
    <x v="0"/>
    <x v="1"/>
    <n v="40498"/>
    <x v="0"/>
    <s v="RECONSTRUCCIÓN DE PAVIMENTO CON CONCRETO ASFÁLTICO DE LA AVENIDA DE LOS MÁRTIRES INICIANDO EN CAMINO A CLAVIJERO, CON UNA LONGITUD DE 930 METROS, EN LA LOCALIDAD DE HEROICA PUEBLA DE ZARAGOZA, MUNICIPIO DE PUEBLA, ESTADO DE PUEBLA"/>
    <s v="CUAR CONSTRUCTORES ASOCIADOS, S.A. DE C.V."/>
    <x v="2"/>
    <n v="5341210.49"/>
    <m/>
    <n v="1500000"/>
    <n v="6772483.3799999999"/>
    <n v="68727.11"/>
    <n v="6841210.4900000002"/>
    <n v="5555142.9299999997"/>
    <n v="1286067.5600000005"/>
    <n v="0.81201169560856468"/>
    <x v="6"/>
    <x v="1"/>
    <x v="3"/>
    <n v="1"/>
  </r>
  <r>
    <x v="0"/>
    <x v="0"/>
    <x v="1"/>
    <n v="40499"/>
    <x v="0"/>
    <s v="RECONSTRUCCIÓN DE PAVIMENTO CON CONCRETO ASFÁLTICO DE LA CALLE VENUSTIANO CARRANZA, ENTRE CAMINO A CLAVIJERO Y AVENIDA CAMPO DE TIRO, EN LA LOCALIDAD DE HEROICA PUEBLA DE ZARAGOZA, EN EL MUNICIPIO DE PUEBLA, EN EL ESTADO DE PUEBLA"/>
    <s v="CONTRATISTAS CIVILES COLZA, S.A. DE C.V."/>
    <x v="2"/>
    <n v="5860370.5099999998"/>
    <m/>
    <n v="1000000"/>
    <n v="6704816.9199999999"/>
    <n v="155553.59"/>
    <n v="6860370.5099999998"/>
    <n v="6854746.4800000004"/>
    <n v="5624.0299999993294"/>
    <n v="0.9991802148307003"/>
    <x v="6"/>
    <x v="1"/>
    <x v="4"/>
    <n v="1"/>
  </r>
  <r>
    <x v="0"/>
    <x v="0"/>
    <x v="1"/>
    <n v="40500"/>
    <x v="0"/>
    <s v="RECONSTRUCCIÓN Y CONSTRUCCIÓN DE PAVIMENTO CON CONCRETO ASFÁLTICO DE LA AVENIDA DE LOS EDUCADORES, ENTRE AVENIDA JOSÉ MARÍA LAFRAGUA Y CALLE JUSTO SIERRA, AVENIDA DE LOS EDUCADORES ENTRE LAS CALLES JUAN CORDERO Y GALILEO GALILEI Y PRIVADA GALILEO GALILEI ENTRE LA AVENIDA DE LOS EDUCADORES Y LA AVENIDA INDEPENDENCIA, EN LA LOCALIDAD DE HEROICA PUEBLA DE ZARAGOZA, EN EL MUNICIPIO DE PUEBLA, EN EL ESTADO DE PUEBLA"/>
    <s v="CUAR CONSTRUCTORES ASOCIADOS, S.A. DE C.V."/>
    <x v="2"/>
    <n v="6075733.8799999999"/>
    <m/>
    <n v="1500000"/>
    <n v="7498306.7800000003"/>
    <n v="77427.100000000006"/>
    <n v="7575733.8799999999"/>
    <n v="7575733.8799999999"/>
    <n v="0"/>
    <n v="1"/>
    <x v="7"/>
    <x v="1"/>
    <x v="5"/>
    <n v="1"/>
  </r>
  <r>
    <x v="0"/>
    <x v="0"/>
    <x v="3"/>
    <n v="40501"/>
    <x v="0"/>
    <s v="MANTENIMIENTO DE DIVERSAS CALLES A BASE DE BACHEO AISLADO CON CARPETA ASFÁLTICA, UBICADO EN LA LOCALIDAD DE HEROICA PUEBLA DE ZARAGOZA, EN EL MUNICIPIO DE PUEBLA, ESTADO DE PUEBLA."/>
    <s v="SATORI INOX, S.A. DE C.V."/>
    <x v="2"/>
    <n v="3999954.99"/>
    <m/>
    <n v="6000000"/>
    <n v="9849963.1799999997"/>
    <n v="125660.07"/>
    <n v="9975623.25"/>
    <n v="9975623.25"/>
    <n v="0"/>
    <n v="1"/>
    <x v="0"/>
    <x v="0"/>
    <x v="6"/>
    <n v="1"/>
  </r>
  <r>
    <x v="0"/>
    <x v="0"/>
    <x v="4"/>
    <n v="40502"/>
    <x v="0"/>
    <s v="PROYECTO INTEGRAL PARA LA CONSTRUCCIÓN DEL MERCADO &quot;SAN RAMÓN&quot;, UBICADO EN LA LOCALIDAD DE HEROICA PUEBLA DE ZARAGOZA, EN EL MUNICIPIO DE PUEBLA, ESTADO DE PUEBLA, ubicación AVENIDA LOMAS DE ATLIXCO S/N, ENTRE CALLE JAZMÍN Y CALLE LICENCIADO BENITO JUÁREZ COLONIA SAN RAMÓN CASTILLOTLA, DEL MUNICIPIO DE PUEBLA, PUE."/>
    <s v="DICOVIT, S.A. DE C.V."/>
    <x v="2"/>
    <n v="60379612.780000001"/>
    <m/>
    <n v="20000000"/>
    <n v="78772059.00999999"/>
    <n v="0"/>
    <n v="78772059.00999999"/>
    <n v="71503808.420000002"/>
    <n v="7268250.5899999887"/>
    <n v="0.9077306004013771"/>
    <x v="0"/>
    <x v="0"/>
    <x v="7"/>
    <n v="1"/>
  </r>
  <r>
    <x v="0"/>
    <x v="0"/>
    <x v="5"/>
    <n v="31039"/>
    <x v="0"/>
    <s v="CONSTRUCCIÓN DE PAVIMENTO Y OBRAS COMPLEMENTARIAS EN AVENIDA 11 DE ENERO ENTRE CALLE MISAEL NÚÑEZ ACOSTA Y FIN DE CALLE, EN LA COLONIA BARRANCA HONDA, DE LA JUNTA AUXILIAR SAN PABLO XOCHIMEHUACAN DEL MUNICIPIO DE PUEBLA.  UBICACIÓN AVENIDA 11 DE ENERO ENTRE CALLE MISAEL NÚÑEZ ACOSTA Y FIN DE CALLE, EN LA COLONIA BARRANCA HONDA, DE LA JUNTA AUXILIAR SAN PABLO XOCHIMEHUACAN DEL MUNICIPIO DE PUEBLA."/>
    <s v="SOLUTINTEC, S.A. DE C.V."/>
    <x v="3"/>
    <n v="0"/>
    <n v="0"/>
    <n v="3272891.28"/>
    <n v="2749979.9"/>
    <n v="522911.38"/>
    <n v="3272891.28"/>
    <n v="3272891.28"/>
    <n v="0"/>
    <n v="1"/>
    <x v="8"/>
    <x v="1"/>
    <x v="8"/>
    <n v="1"/>
  </r>
  <r>
    <x v="0"/>
    <x v="0"/>
    <x v="5"/>
    <n v="31036"/>
    <x v="0"/>
    <s v="CONSTRUCCIÓN DE PAVIMENTO Y OBRAS COMPLEMENTARIAS EN CALLE 2 SUR ENTRE CALLE MAXIMINO ÁVILA CAMACHO Y CALLE 3 ORIENTE, EN LA COLONIA EL SALVADOR DEL MUNICIPIO DE PUEBLA. UBICACIÓN CALLE 2 SUR ENTRE CALLE MAXIMINO ÁVILA CAMACHO Y CALLE 3 ORIENTE, EN LA COLONIA EL SALVADOR DEL MUNICIPIO DE PUEBLA."/>
    <s v="EDIFFICA BATLLO INMOBILIARIOS, S.A. DE C.V."/>
    <x v="4"/>
    <n v="0"/>
    <n v="0"/>
    <n v="2982055.1300000004"/>
    <n v="2635042.4300000002"/>
    <n v="347012.7"/>
    <n v="2982055.1300000004"/>
    <n v="2982055.13"/>
    <n v="0"/>
    <n v="0.99999999999999989"/>
    <x v="9"/>
    <x v="1"/>
    <x v="8"/>
    <n v="1"/>
  </r>
  <r>
    <x v="0"/>
    <x v="0"/>
    <x v="5"/>
    <n v="31037"/>
    <x v="0"/>
    <s v="CONSTRUCCIÓN DE PAVIMENTO Y OBRAS COMPLEMENTARIAS EN CALLE 3 ENTRE CALLE JOSÉ MARTÍ Y CALLE CESAR VALLEJO, EN LA COLONIAS BALCONES DEL SUR Y FRATERNIDAD ANTORCHISTA, DE LA JUNTA AUXILIAR SAN FRANCISCO TOTIMEHUACAN DEL MUNICIPIO DE PUEBLA.  UBICACIÓN CALLE 3 ENTRE CALLE JOSÉ MARTÍ Y CALLE CESAR VALLEJO, EN LA COLONIAS BALCONES DEL SUR Y FRATERNIDAD ANTORCHISTA, DE LA JUNTA AUXILIAR SAN FRANCISCO TOTIMEHUACAN DEL MUNICIPIO DE PUEBLA. "/>
    <s v="ARKI JOMAN, S DE R.L. DE C.V."/>
    <x v="4"/>
    <n v="0"/>
    <n v="0"/>
    <n v="5446952.1799999997"/>
    <n v="5446952.1799999997"/>
    <n v="0"/>
    <n v="5446952.1799999997"/>
    <n v="5446952.1799999997"/>
    <n v="0"/>
    <n v="1"/>
    <x v="10"/>
    <x v="1"/>
    <x v="8"/>
    <n v="1"/>
  </r>
  <r>
    <x v="0"/>
    <x v="0"/>
    <x v="5"/>
    <n v="31038"/>
    <x v="0"/>
    <s v="CONSTRUCCIÓN DE PAVIMENTO Y OBRAS COMPLEMENTARIAS EN CALLE DURAZNO ENTRE CALLE LAURELES Y CALLE ROBLE, EN LA COLONIA BOSQUES DE AMALUCAN PRIMERA SECCIÓN DEL MUNICIPIO DE PUEBLA.  UBICACIÓN CALLE DURAZNO ENTRE CALLE LAURELES Y CALLE ROBLE, EN LA COLONIA BOSQUES DE AMALUCAN PRIMERA SECCIÓN DEL MUNICIPIO DE PUEBLA."/>
    <s v="GRUPO CONSTRUCTOR PROINCI, S.A. DE C.V."/>
    <x v="4"/>
    <n v="0"/>
    <n v="0"/>
    <n v="2513381.29"/>
    <n v="2513381.29"/>
    <n v="0"/>
    <n v="2513381.29"/>
    <n v="2513381.29"/>
    <n v="0"/>
    <n v="1"/>
    <x v="11"/>
    <x v="1"/>
    <x v="8"/>
    <n v="1"/>
  </r>
  <r>
    <x v="0"/>
    <x v="0"/>
    <x v="5"/>
    <n v="31040"/>
    <x v="0"/>
    <s v="CONSTRUCCIÓN DE PAVIMENTO Y OBRAS COMPLEMENTARIAS EN CALLE ROBLE ENTRE CALLE COLORINES Y CALLE ALCANFORES, EN LA COLONIA VALLE PARAÍSO, DE LA JUNTA AUXILIAR SAN BALTAZAR CAMPECHE DEL MUNICIPIO DE PUEBLA.  UBICACIÓN CALLE ROBLE ENTRE CALLE COLORINES Y CALLE ALCANFORES, EN LA COLONIA VALLE PARAÍSO, DE LA JUNTA AUXILIAR SAN BALTAZAR CAMPECHE DEL MUNICIPIO DE PUEBLA."/>
    <s v="SOLUTINTEC, S.A. DE C.V."/>
    <x v="4"/>
    <n v="0"/>
    <n v="0"/>
    <n v="7693807.8200000003"/>
    <n v="7693807.8200000003"/>
    <n v="0"/>
    <n v="7693807.8200000003"/>
    <n v="7693807.8200000003"/>
    <n v="0"/>
    <n v="1"/>
    <x v="12"/>
    <x v="1"/>
    <x v="8"/>
    <n v="1"/>
  </r>
  <r>
    <x v="0"/>
    <x v="0"/>
    <x v="5"/>
    <n v="31041"/>
    <x v="0"/>
    <s v="CONSTRUCCIÓN DE PAVIMENTO Y OBRAS COMPLEMENTARIAS EN CALLE 110 PONIENTE ENTRE CALLE 15 NORTE Y FIN DE CALLE, EN LA COLONIA VENUSTIANO CARRANZA, DE LA JUNTA AUXILIAR SAN PABLO XOCHIMEHUACAN DEL MUNICIPIO DE PUEBLA.  UBICACIÓN  CALLE 110 PONIENTE ENTRE CALLE 15 NORTE Y FIN DE CALLE, EN LA COLONIA VENUSTIANO CARRANZA, DE LA JUNTA AUXILIAR SAN PABLO XOCHIMEHUACAN DEL MUNICIPIO DE PUEBLA. "/>
    <s v="ARKI JOMAN, S DE R.L. DE C.V."/>
    <x v="4"/>
    <n v="0"/>
    <n v="0"/>
    <n v="4741133.09"/>
    <n v="4741133.09"/>
    <n v="0"/>
    <n v="4741133.09"/>
    <n v="4741133.09"/>
    <n v="0"/>
    <n v="1"/>
    <x v="13"/>
    <x v="1"/>
    <x v="8"/>
    <n v="1"/>
  </r>
  <r>
    <x v="0"/>
    <x v="0"/>
    <x v="6"/>
    <n v="31042"/>
    <x v="0"/>
    <s v="CONSTRUCCIÓN DE COLECTOR PLUVIAL EN CALLE PINO ENTRE CALLE POLÍTICA MODERNA Y CALLE LIBERTAD, CALLE LIBERTAD ENTRE CALLE PINO Y CALLE RUBÍ, CALLE RUBÍ ENTRE CALLE LIBERTAD Y BARRANCA, EN LAS COLONIAS NUEVO PARAÍSO Y SOLIDARIDAD, DE LA JUNTA AUXILIAR SAN SEBASTIÁN DE APARICIO DEL MUNICIPIO DE PUEBLA.  UBICACIÓN EN CALLE PINO ENTRE CALLE POLÍTICA MODERNA Y CALLE LIBERTAD, CALLE LIBERTAD ENTRE CALLE PINO Y CALLE RUBÍ, CALLE RUBÍ ENTRE CALLE LIBERTAD Y BARRANCA, EN LAS COLONIAS NUEVO PARAÍSO Y SOLIDARIDAD, DE LA JUNTA AUXILIAR SAN SEBASTIÁN DE APARICIO DEL MUNICIPIO DE PUEBLA. "/>
    <s v="GRUPO ECOLÓGICO INTERNACIONAL, S.A. DE C.V."/>
    <x v="4"/>
    <n v="0"/>
    <n v="0"/>
    <n v="6493555.2199999997"/>
    <n v="4831661.4400000004"/>
    <n v="1661893.78"/>
    <n v="6493555.2200000007"/>
    <n v="6493555.2199999997"/>
    <n v="0"/>
    <n v="1"/>
    <x v="14"/>
    <x v="2"/>
    <x v="8"/>
    <n v="1"/>
  </r>
  <r>
    <x v="0"/>
    <x v="0"/>
    <x v="6"/>
    <n v="31043"/>
    <x v="0"/>
    <s v="RED DE ALCANTARILLADO PLUVIAL EN LA COLONIA SANTA CRUZ LOS ÁNGELES DEL MUNICIPIO DE PUEBLA UBICACIÓN EN CALLE 35 SUR, ENTRE AVENIDA 29 PONIENTE Y AVENIDA MANUEL ESPINOSA YGLESIAS O CALLE 31 PONIENTE; EN AVENIDA MANUEL ESPINOSA YGLESIA O CALL31 PONIENTE ENTRE CALLE 35 SUR Y CALLE 33 SUR, EN LA COLONIA SANTA CRUZ LOS ÁNGELES DEL MUNICIPIO DE PUEBLA."/>
    <s v="GRUPO INMOBILIARIO SKARN, S.A. DE C.V."/>
    <x v="4"/>
    <n v="0"/>
    <n v="0"/>
    <n v="4647976.59"/>
    <n v="4401184.25"/>
    <n v="246792.34"/>
    <n v="4647976.59"/>
    <n v="4647976.59"/>
    <n v="0"/>
    <n v="1"/>
    <x v="15"/>
    <x v="2"/>
    <x v="8"/>
    <n v="1"/>
  </r>
  <r>
    <x v="0"/>
    <x v="0"/>
    <x v="5"/>
    <n v="31044"/>
    <x v="0"/>
    <s v="CONSTRUCCIÓN DE PAVIMENTO Y OBRAS COMPLEMENTARIAS EN CALLE VENUSTIANO CARRANZA ENTRE CALLE BENITO JUÁREZ Y CALLE EMILIANO ZAPATA, EN LA COLONIA GUADALUPE HIDALGO, DE LA JUNTA AUXILIAR SAN FRANCISCO TOTIMEHUACAN DEL MUNICIPIO DE PUEBLA. UBICACIÓN CALLE VENUSTIANO CARRANZA ENTRE CALLE BENITO JUÁREZ Y CALLE EMILIANO ZAPATA, EN LA COLONIA GUADALUPE HIDALGO, DE LA JUNTA AUXILIAR SAN FRANCISCO TOTIMEHUACAN DEL MUNICIPIO DE PUEBLA."/>
    <s v="EDIFICACIONES ESPECIALES JAKME, S.A. DE C.V."/>
    <x v="4"/>
    <n v="0"/>
    <n v="0"/>
    <n v="8254161.4399999995"/>
    <n v="7550133.0099999998"/>
    <n v="704028.43"/>
    <n v="8254161.4399999995"/>
    <n v="8254161.4400000004"/>
    <n v="0"/>
    <n v="1.0000000000000002"/>
    <x v="16"/>
    <x v="1"/>
    <x v="8"/>
    <n v="1"/>
  </r>
  <r>
    <x v="0"/>
    <x v="1"/>
    <x v="7"/>
    <n v="31045"/>
    <x v="1"/>
    <s v="CONSTRUCCIÓN Y OBRAS COMPLEMENTARIAS DEL BACHILLERATO TECNOLÓGICO UBICADO EN CIUDAD UNIVERSITARIA 2 (ECO CAMPUS VALSEQUILLO), EN LA JUNTA AUXILIAR SAN PEDRO ZACACHIMALPA DEL MUNICIPIO DE PUEBLA"/>
    <s v="MUT INFRAESTRUCTURA, S.A. DE C.V. "/>
    <x v="5"/>
    <n v="0"/>
    <n v="0"/>
    <n v="54000000"/>
    <n v="53996872.829999998"/>
    <n v="0"/>
    <n v="53996872.829999998"/>
    <n v="53030825.460000001"/>
    <n v="966047.36999999732"/>
    <n v="0.98210919782259554"/>
    <x v="0"/>
    <x v="0"/>
    <x v="8"/>
    <n v="0.75149999999999995"/>
  </r>
  <r>
    <x v="0"/>
    <x v="1"/>
    <x v="8"/>
    <n v="31046"/>
    <x v="2"/>
    <s v="DEZASOLVE DE BARRANCAS Y RIOS DEL MUNICIPIO DE PUEBLA "/>
    <s v="JOMA Y ASOCIADOS S.A. DE C.V."/>
    <x v="5"/>
    <n v="0"/>
    <n v="0"/>
    <n v="29998271.699999999"/>
    <n v="29808951.84"/>
    <n v="5248272.9199999981"/>
    <n v="35057224.759999998"/>
    <n v="35057224.759999998"/>
    <n v="0"/>
    <n v="1"/>
    <x v="0"/>
    <x v="0"/>
    <x v="8"/>
    <n v="1"/>
  </r>
  <r>
    <x v="0"/>
    <x v="1"/>
    <x v="8"/>
    <n v="31047"/>
    <x v="1"/>
    <s v="CONSTRUCCIÓN DE MURO DE CONTENCIÓN EN CALLE ALBERT EINSTEIN, AL MARGEN DEL RIO ALSESECA, ENTRE CALLE MORELOS Y CALLE HERACLITO, EN LA COLONIA SAN LUIS GONZAGA, DEL MUNICIPIO DE PUEBLA "/>
    <s v="MICHIGAN CONSTRUCCIONES S.A. DE C.V."/>
    <x v="5"/>
    <n v="0"/>
    <n v="0"/>
    <n v="3103652.29"/>
    <n v="3079978.64"/>
    <n v="1221009.96"/>
    <n v="4300988.5999999996"/>
    <n v="4269150.71"/>
    <n v="31837.889999999665"/>
    <n v="0.99259754141175827"/>
    <x v="17"/>
    <x v="0"/>
    <x v="8"/>
    <n v="1"/>
  </r>
  <r>
    <x v="0"/>
    <x v="1"/>
    <x v="1"/>
    <n v="31048"/>
    <x v="1"/>
    <s v="MANTENIMIENTO VIAL Y OBRAS COMPLEMENTARIAS EN AVENIDA 11 ORIENTE ENTRE BOULEVARD HÉROES DEL 5 DE MAYO Y AVENIDA 26 SUR, EN LAS COLONIAS RANCHO AZCARATE, MOTOLINÍA, EL ÁNGEL Y BARRIO DE ANALCO, DEL MUNICIPIO DE PUEBLA. "/>
    <s v="RAMIREZ &amp; GARCÍA CONSTRUCTORA, S.A. DE C.V."/>
    <x v="5"/>
    <n v="0"/>
    <n v="0"/>
    <n v="28656206.379999999"/>
    <n v="28368940.890000001"/>
    <n v="3996956.87"/>
    <n v="32365897.760000002"/>
    <n v="25718623.739999998"/>
    <n v="6647274.0200000033"/>
    <n v="0.79462105240240977"/>
    <x v="18"/>
    <x v="1"/>
    <x v="8"/>
    <n v="0.95"/>
  </r>
  <r>
    <x v="0"/>
    <x v="1"/>
    <x v="5"/>
    <n v="31049"/>
    <x v="1"/>
    <s v="PAVIMENTACIÓN Y OBRAS COMPLEMENTARIAS EN CALLE ARTÍCULO 9 ENTRE AVENIDA CONSTITUYENTES Y CALLE ARTÍCULO 1; CALLE ARTÍCULO 1 ENTRE ARTÍCULO 9 Y CAMINO VIEJO A BALCONES, EN LAS COLONIAS CONSTITUCIÓN MEXICANA Y AMPLIACION CONSTITUCIÓN MEXICANA, DE LA JUNTA AUXILIAR SAN FRANCISCO TOTIMEHUACAN DEL MUNICIPIO DE PUEBLA"/>
    <s v="CONSTRUCTORA DREAMVIOR, S.A. DE C.V."/>
    <x v="5"/>
    <n v="0"/>
    <n v="0"/>
    <n v="7565039.5700000003"/>
    <n v="7553941.0199999996"/>
    <n v="0"/>
    <n v="7553941.0199999996"/>
    <n v="6676658.3300000001"/>
    <n v="877282.68999999948"/>
    <n v="0.88386423885528309"/>
    <x v="19"/>
    <x v="1"/>
    <x v="8"/>
    <n v="1"/>
  </r>
  <r>
    <x v="0"/>
    <x v="1"/>
    <x v="1"/>
    <n v="31050"/>
    <x v="1"/>
    <s v="MANTENIMIENTO VIAL Y OBRAS COMPLEMENTARIAS EN CALLE 30 NORTE ENTRE CALLE 32 NORTE Y AVENIDA 12 ORIENTE,EN LAS COLONIAS XONACA,AZTECA,VISTA HERMOSA,MIGUEL ALEMÁN,HUMBOLDT NORTE,RESURGIMIENTO NORTE, DEL MUNICIPIO DE PUEBLA"/>
    <s v="ARQUITECTONI-K INMOBILIARIA, S.A. DE C.V."/>
    <x v="5"/>
    <n v="0"/>
    <n v="0"/>
    <n v="19346319.800000001"/>
    <n v="19246776.25"/>
    <n v="1589155.95"/>
    <n v="20835932.199999999"/>
    <n v="17399842.07"/>
    <n v="3436090.129999999"/>
    <n v="0.83508824577572782"/>
    <x v="20"/>
    <x v="1"/>
    <x v="8"/>
    <n v="0.2"/>
  </r>
  <r>
    <x v="0"/>
    <x v="1"/>
    <x v="1"/>
    <n v="31051"/>
    <x v="1"/>
    <s v="MANTENIMIENTO VIAL Y OBRAS COMPLEMENTARIAS EN CALLE 5 SUR ENTRE CALLE AVENIDA 105 PONIENTE Y AVENIDA 113 PONIENTE;AVENIDA 3 SUR Y CALLE 7 SUR;CIRCUITO CENTRAL LOMA BELLA, EN LA COLONIA INFONAVIT LOMA BELLA, DE LA JUNTA AUXILIAR SAN BALTAZAR CAMPECHE,DEL MUNICIPIO DE PUEBLA. "/>
    <s v="CONSTRUCCIONES Y OPERACIONES DEL CARIBE GRACSA, S.A, DE C.V. "/>
    <x v="5"/>
    <n v="0"/>
    <n v="0"/>
    <n v="25698047.949999999"/>
    <n v="25428636.890000001"/>
    <n v="0"/>
    <n v="25428636.890000001"/>
    <n v="22787366.059999999"/>
    <n v="2641270.8300000019"/>
    <n v="0.89613006621527946"/>
    <x v="21"/>
    <x v="1"/>
    <x v="8"/>
    <n v="1"/>
  </r>
  <r>
    <x v="0"/>
    <x v="1"/>
    <x v="5"/>
    <n v="31053"/>
    <x v="1"/>
    <s v="PAVIMENTACIÓN Y OBRAS COMPLEMENTARIAS EN PRIVADA E DE LA 16 DE SEPTIEMBRE ENTRE CALLE SAN ALFONSO Y PRIVADA INDEPENDENCIA, EN LA COLONIA GUADALUPE HIDALGO 2DA SECCIÓN, DE LA JUNTA AUXILIAR DE SAN FRANCISCO TOTIMEHUACAN,DEL MUNICIPIO DE PUEBLA "/>
    <s v="CONSTRUCTORA Y PROMOTORA ARANTE, S.A DE C.V "/>
    <x v="5"/>
    <n v="0"/>
    <n v="0"/>
    <n v="6800020.8700000001"/>
    <n v="6698665.0199999996"/>
    <n v="0"/>
    <n v="6698665.0199999996"/>
    <n v="6421623.2699999996"/>
    <n v="277041.75"/>
    <n v="0.95864224451098168"/>
    <x v="22"/>
    <x v="1"/>
    <x v="8"/>
    <n v="1"/>
  </r>
  <r>
    <x v="0"/>
    <x v="1"/>
    <x v="1"/>
    <n v="31054"/>
    <x v="1"/>
    <s v="MANTENIMIENTO VIAL Y OBRAS COMPLEMENTARIAS EN CALLE ANÁHUAC Y CALLE CAMINO NACIONAL,DE LA JUNTA AUXILIAR IGNACIO ROMERO VARGAS, DEL MUNICIPIO DE PUEBLA"/>
    <s v="PROMOTORA Y CONSTRUCTORA FRAXA, S.A DE C.V "/>
    <x v="5"/>
    <n v="0"/>
    <n v="0"/>
    <n v="21741406.629999999"/>
    <n v="21734712.75"/>
    <n v="813247.8"/>
    <n v="22547960.550000001"/>
    <n v="16450250.470000001"/>
    <n v="6097710.0800000001"/>
    <n v="0.72956711244556438"/>
    <x v="23"/>
    <x v="1"/>
    <x v="8"/>
    <n v="0.39550000000000002"/>
  </r>
  <r>
    <x v="0"/>
    <x v="1"/>
    <x v="8"/>
    <n v="31055"/>
    <x v="2"/>
    <s v="CONSTRUCCIÓN DE COLECTOR PLUVIAL EJERCITO DE ORIENTE TRAMO CALLE 5 DE FEBRERO ENTRE CALLE VENUSTIANO CARRANZA Y BARRANCA SAN DIEGO, EN LA COLONIA ALAMOS VISTA HERMOSA, DEL MUNICIPIO "/>
    <s v="CONTRATISTAS CIVILES COLZA, S.A DE C.V "/>
    <x v="5"/>
    <n v="0"/>
    <n v="0"/>
    <n v="42285962.219999999"/>
    <n v="42074202.520000003"/>
    <n v="0"/>
    <n v="42074202.520000003"/>
    <n v="39587616.539999999"/>
    <n v="2486585.9800000042"/>
    <n v="0.94089998547642095"/>
    <x v="0"/>
    <x v="0"/>
    <x v="8"/>
    <n v="0.84299999999999997"/>
  </r>
  <r>
    <x v="0"/>
    <x v="1"/>
    <x v="9"/>
    <n v="31056"/>
    <x v="2"/>
    <s v="EQUIPAMIENTO Y OBRAS COMPLEMENTARIAS PARA LA IMPLEMENTACIÓN DE CALENTADORES SOLARES EN DIFERENTES VIVIENDAS UBICADAS EN ZONAS DE ATENCIÓN PRIORITARIA DEL MUNICIPIO DE PUEBLA"/>
    <s v="GRUPO CORPBO, S.A. DE C.V."/>
    <x v="5"/>
    <n v="0"/>
    <n v="0"/>
    <n v="35903786.590000004"/>
    <n v="35637851.850000001"/>
    <n v="0"/>
    <n v="35637851.850000001"/>
    <n v="20691852.969999999"/>
    <n v="14945998.880000003"/>
    <n v="0.58061448420326145"/>
    <x v="0"/>
    <x v="0"/>
    <x v="8"/>
    <n v="0.40749999999999997"/>
  </r>
  <r>
    <x v="0"/>
    <x v="1"/>
    <x v="9"/>
    <n v="31057"/>
    <x v="2"/>
    <s v="EQUIPAMIENTO Y OBRAS COMPLEMENTARIAS PARA LA IMPLEMENTACIÓN DE ELECTRIFICACIÓN NO CONVENCIONAL CON PANEL SOLAR EN DIFERENTES VIVIENDAS UBICADAS EN ZONAS DE ATENCIÓN PRIORITARIAS DEL MUNICIPIO DE PUEBLA"/>
    <s v="LI1, S.A. DE C.V."/>
    <x v="5"/>
    <n v="0"/>
    <n v="0"/>
    <n v="1478056.17"/>
    <n v="1461725.98"/>
    <n v="0"/>
    <n v="1461725.98"/>
    <n v="438517.79"/>
    <n v="1023208.19"/>
    <n v="0.29999999726350896"/>
    <x v="0"/>
    <x v="0"/>
    <x v="8"/>
    <n v="1"/>
  </r>
  <r>
    <x v="0"/>
    <x v="1"/>
    <x v="9"/>
    <n v="31058"/>
    <x v="2"/>
    <s v="EQUIPAMIENTO Y OBRAS COMPLEMENTARIAS PARA LA IMPLEMENTACIÓN PARA LA IMPLEMENTACIÓN DE SISTEMAS DE ALMACENAMIENTO DE AGUA MEDIANTE TINACOS EN DIFERENTES VIVIENDAS UBICADAS EN ZONAS DE ATENCIÓN PRIORITARIA DEL MUNICIPIO DE PUEBLA "/>
    <s v="CONSTRUCCIÓN Y COORDINACIÓN DE PROYECTOS, S.A. DE C.V."/>
    <x v="5"/>
    <n v="0"/>
    <n v="0"/>
    <n v="9789745.6799999997"/>
    <n v="9674712.7100000009"/>
    <n v="0"/>
    <n v="9674712.7100000009"/>
    <n v="5501415.6500000004"/>
    <n v="4173297.0600000005"/>
    <n v="0.56863865779844947"/>
    <x v="0"/>
    <x v="0"/>
    <x v="8"/>
    <n v="0.51529999999999998"/>
  </r>
  <r>
    <x v="0"/>
    <x v="1"/>
    <x v="9"/>
    <n v="31059"/>
    <x v="2"/>
    <s v="EQUIPAMIENTO Y OBRAS COMPLEMENTARIAS PARA LA IMPLEMENTACIÓN DE LOS SISTEMAS DE CAPTACIÓN PLUVIAL EN DIFERENTES VIVIENDAS UBICADAS EN ZONAS DE ATENCIÓN PRIORITARIA DEL MUNICIPIO DE PUEBLA"/>
    <s v="REMA SOLUTIONS, S.A. DE C.V."/>
    <x v="5"/>
    <n v="0"/>
    <n v="0"/>
    <n v="15685567.33"/>
    <n v="15574109.640000001"/>
    <n v="0"/>
    <n v="15574109.640000001"/>
    <n v="14111238.01"/>
    <n v="1462871.6300000008"/>
    <n v="0.90607028820172086"/>
    <x v="0"/>
    <x v="0"/>
    <x v="8"/>
    <n v="0.63"/>
  </r>
  <r>
    <x v="0"/>
    <x v="1"/>
    <x v="1"/>
    <n v="31060"/>
    <x v="1"/>
    <s v="MANTENIMIENTO VIAL Y OBRAS COMPLEMENTARIAS EN CALLE 33 PONIENTE ENTRE CALLE 27 SUR Y CALLE 21 SUR; CALLE 21 SUR ENTRE CALLE 33 PONIENTE Y CALLE 19 SUR; CALLE 35 PONIENTE ENTRE CALLE 19 SUR Y AVENIDA 11 SUR, EN LAS COLONIAS LA NORIA, BENITO JUÁREZ, INFONAVIT 12 DE MAYO DE 1918, LOS VOLCANES Y GUSTAVO DÍAZ ORDAZ DE LA JUNTA AUXILIAR SAN BALTAZAR CAMPECHE CEL MUNICIPIO DE PUEBLA"/>
    <s v="CUAR CONSTRUCTORES ASOCIADOS, S.A. DE C.V"/>
    <x v="5"/>
    <n v="0"/>
    <n v="0"/>
    <n v="23914114.280000001"/>
    <n v="23681231.75"/>
    <n v="5240075.24"/>
    <n v="28921306.990000002"/>
    <n v="17575415.530000001"/>
    <n v="11345891.460000001"/>
    <n v="0.60769783108616005"/>
    <x v="24"/>
    <x v="1"/>
    <x v="8"/>
    <n v="0.14099999999999999"/>
  </r>
  <r>
    <x v="0"/>
    <x v="1"/>
    <x v="8"/>
    <n v="31062"/>
    <x v="2"/>
    <s v="REHABILITACIÓN DE ALCANTARILLADO SANITARIO EN CALLE ROMERO VARGAS ENTRE PRIVADA FELIPE BERRIOZABAL Y CALLE ROMERO RUBIO, PRIVADA FELIPE BERRIOZÁBAL ENTRE CALLE ROMERO VARGAS Y CALLE JUÁN TAMBORIEL, DE LA JUNTA AUXILIAR SAN JERÓNIMO CALERAS, DEL MUNICIPIO DE PUEBLA "/>
    <s v="VALUACIÓN PROYECTOS Y CONSTRUCCIONES, S.A. DE C.V"/>
    <x v="5"/>
    <n v="0"/>
    <n v="0"/>
    <n v="1441539.22"/>
    <n v="1441539.22"/>
    <n v="0"/>
    <n v="1441539.22"/>
    <n v="427171.49"/>
    <n v="1014367.73"/>
    <n v="0.29633011996718339"/>
    <x v="0"/>
    <x v="0"/>
    <x v="8"/>
    <n v="0"/>
  </r>
  <r>
    <x v="0"/>
    <x v="1"/>
    <x v="5"/>
    <n v="31063"/>
    <x v="2"/>
    <s v="PAVIMENTACIÓN Y OBRAS COMPLEMENTARIAS EN CALLE 3 DE MAYO, ENTRE CALLE NIÑOS HÉROES Y CALLE BELLAS ARTES, EN LA COLONIA GUADALUPE EJIDO ROMERO VARGA, DE LA JUNTA AUXILIAR IGNACIO ROMERO VARGAS, DEL MUNICIPIO DE PUEBLA. "/>
    <s v="CONSTRUCTORA INDARCO MAZARO, S.A. DE C.V."/>
    <x v="6"/>
    <n v="0"/>
    <n v="0"/>
    <n v="1022817.69"/>
    <n v="1010521.51"/>
    <m/>
    <n v="1010521.51"/>
    <n v="303156.45"/>
    <n v="707365.06"/>
    <n v="0.29999999703123587"/>
    <x v="25"/>
    <x v="1"/>
    <x v="9"/>
    <m/>
  </r>
  <r>
    <x v="0"/>
    <x v="1"/>
    <x v="5"/>
    <n v="31061"/>
    <x v="1"/>
    <s v="PAVIMENTACIÓN Y OBRAS COMPLEMENTARIAS EN CALLE 20 DE NOVIEMBRE ENTRE CALLE 3 NORTE Y FIN DE CALLE, EN LA COLONIA SAN JOSÉ LOS CERRITOS, DE LA JUNTA AUXILIAR SAN PABLO XOCHIMEHUACAN, DEL MUNICIPIO DE PUEBLA "/>
    <s v="INMOBILIARIA CASTITAS, S.A. DE C.V"/>
    <x v="7"/>
    <n v="0"/>
    <n v="0"/>
    <n v="3334706.82"/>
    <n v="3301235.64"/>
    <n v="0"/>
    <n v="3301235.64"/>
    <n v="3157294.56"/>
    <n v="143941.08000000007"/>
    <n v="0.9563978171518831"/>
    <x v="26"/>
    <x v="1"/>
    <x v="8"/>
    <n v="0.94"/>
  </r>
  <r>
    <x v="0"/>
    <x v="1"/>
    <x v="10"/>
    <n v="40504"/>
    <x v="2"/>
    <s v="CONSTRUCCIÓN DE SISTEMAS DE CAPTACIÓN DE AGUA DE LLUVIA EN INFRAESTRUCTURA EDUCATIVA PÚBLICA, UBICADAS EN ZONAS DE ATENCIÓN PRIORITARIA Y EN EL MERCADO MUNICIPAL 5 DE MAYO, LOCALIZADO EN LA CALLE 18 PONIENTE NO.309, COLONIA CENTRO HISTÓRICO, EN EL MUNICIPIO DE PUEBLA"/>
    <s v="REMA SOLUTIONS, S.A DE C.V"/>
    <x v="8"/>
    <n v="0"/>
    <n v="0"/>
    <n v="12051722.34"/>
    <n v="11950707.1"/>
    <n v="0"/>
    <n v="11950707.1"/>
    <n v="11154641.699999999"/>
    <n v="796065.40000000037"/>
    <n v="0.93338759009498273"/>
    <x v="0"/>
    <x v="0"/>
    <x v="8"/>
    <n v="0.92"/>
  </r>
  <r>
    <x v="0"/>
    <x v="1"/>
    <x v="11"/>
    <n v="250107"/>
    <x v="1"/>
    <s v="CONSTRUCCIÓN DEL PUENTE VEHICULAR &quot;LA PANGA&quot;, EN LAS LOCALIDADES SAN BALTAZAR TETELA Y LOS_x000a_ÁNGELES TETELA, EN EL MUNICIPIO DE PUEBLA, ESTADO DE PUEBLA"/>
    <s v="GOBIERNO DEL ESTADO DE PUEBLA"/>
    <x v="9"/>
    <m/>
    <m/>
    <n v="154350064.77000001"/>
    <n v="154350064.77000001"/>
    <m/>
    <n v="154350064.77000001"/>
    <n v="154350064.77000001"/>
    <n v="0"/>
    <n v="1"/>
    <x v="0"/>
    <x v="0"/>
    <x v="10"/>
    <n v="1"/>
  </r>
  <r>
    <x v="0"/>
    <x v="1"/>
    <x v="1"/>
    <n v="50342"/>
    <x v="1"/>
    <s v="RECONSTRUCCIÓN DE PAVIMENTO CON CONCRETO ASFÁLTICO DE CALLE 8 SUR ENTRE PROLONGACIÓN REFORMA Y AVENIDA 10 PONIENTE O CALLE AQUILES SERDÁN CALLE 53 NORTE ENTRE CALLE 10 PONIENTE O CALLE AQUILES SERDÁN Y LATERAL DE BOULEVARDHERMANOS SERDÁN, EN LA COLONIA AQUILES SERDÁN, DE LAS JUNTA AUXILIARES LA LIBERTAD Y SAN JERÓNIMO CALERAS, EN EL MUNICIPIO DE PUEBLA."/>
    <s v="ADET CONSTRUCCIPON INMOBILIARIA, S.A. DE C.V. "/>
    <x v="10"/>
    <n v="0"/>
    <n v="0"/>
    <n v="31403063.609999999"/>
    <n v="30972924.07"/>
    <n v="0"/>
    <n v="30972924.07"/>
    <n v="29982021.510000002"/>
    <n v="990902.55999999866"/>
    <n v="0.96800745845757019"/>
    <x v="27"/>
    <x v="1"/>
    <x v="8"/>
    <n v="1"/>
  </r>
  <r>
    <x v="0"/>
    <x v="1"/>
    <x v="8"/>
    <n v="50343"/>
    <x v="1"/>
    <s v="CONSTRUCCIÓN DE COLECTOR PLUVIAL EN EL CENTRO MUNICIPAL DE EQUINOTERAPIA Y REHABILITACIÓN INTEGRAL (CMERI), UBICADO EN PROLONGACIÓN 11 SUR S/N INFONAVIT AGUA SANTA, DE LA JUNTA AUXILIAR SAN BALTAZAR CAMPECHE, DEL MUNICIPIO DE PUEBLA "/>
    <s v="CORPORATIVO CONSTRUCTOR CUROSA,S.A. DE C.V. "/>
    <x v="10"/>
    <n v="0"/>
    <n v="0"/>
    <n v="3515777.91"/>
    <n v="3481187.63"/>
    <n v="0"/>
    <n v="3481187.63"/>
    <n v="2500186.8199999998"/>
    <n v="981000.81"/>
    <n v="0.71819938645478865"/>
    <x v="0"/>
    <x v="0"/>
    <x v="8"/>
    <n v="1"/>
  </r>
  <r>
    <x v="0"/>
    <x v="1"/>
    <x v="12"/>
    <n v="50344"/>
    <x v="1"/>
    <s v="RECONSTRUCCIÓN DE CRUCE PEATONAL A NIVEL DE BANQUETA EN 31 PONIENTE, UBICADO EN 31 PONIENTE Y CALLE 13 SUR COLONIA LOS VOLCANES, CONSTRUCCIÓN DE REDUCTOR DE VELOCIDAD, UBICADO EN CALLE 15 DE MAYO ENTRE CALLE NOGAL Y CALLE ENRIQUE VILLAR DE LA COLONIA AHOGADA Y FRACCIONAMIENTO LOS CIPRESES DEL MUNICIPIO DE PUEBLA"/>
    <s v="CONSTRUCCIONES MADAXI, S.A DE C.V "/>
    <x v="10"/>
    <n v="0"/>
    <n v="0"/>
    <n v="1005143.93"/>
    <n v="995633.78"/>
    <n v="-84288.79"/>
    <n v="911344.99"/>
    <n v="911344.99"/>
    <n v="0"/>
    <n v="1"/>
    <x v="0"/>
    <x v="0"/>
    <x v="8"/>
    <n v="1"/>
  </r>
  <r>
    <x v="0"/>
    <x v="1"/>
    <x v="5"/>
    <n v="50346"/>
    <x v="1"/>
    <s v="PAVIMENTACIÓN Y OBRAS COMPLEMENTARIAS EN CALLE 17 B O CALLE SAUCE ENTRE AVENIDA APULCO E INICIO DE PUENTE, EN LAS COLONIAS BOSQUES DE AMALUCAN Y LA AZTECA, DEL MUNICIPIO DE PUEBLA "/>
    <s v="CONSTRUCTORA GAYPE, S.A. DE C.V."/>
    <x v="10"/>
    <n v="0"/>
    <n v="0"/>
    <n v="4007302.84"/>
    <n v="3983992.48"/>
    <n v="0"/>
    <n v="3983992.48"/>
    <n v="3750596.27"/>
    <n v="233396.20999999996"/>
    <n v="0.94141650337653249"/>
    <x v="28"/>
    <x v="1"/>
    <x v="8"/>
    <n v="0.89"/>
  </r>
  <r>
    <x v="0"/>
    <x v="1"/>
    <x v="1"/>
    <n v="50347"/>
    <x v="1"/>
    <s v="MANTENIMIENTO VIAL Y OBRAS COMPLEMENTARIAS EN CALLE VENUS ENTRE CALLE LAGO HURON Y CALLE NEPTUNO, EN LA COLONIA FOVISSTE SAN ROQUE Y RINCÓN ARBOLEDAS, DE LA JUNTA AUXILIAR SAN BALTAZAR CAMPECHE, DEL MUNICIPIO DE PUEBLA"/>
    <s v="BERESMO CONSTRUCTORA Y URBANIZADORA, S.A DE C.V "/>
    <x v="10"/>
    <n v="0"/>
    <n v="0"/>
    <n v="9011772.8499999996"/>
    <n v="8909888.1699999999"/>
    <n v="0"/>
    <n v="8909888.1699999999"/>
    <n v="8387210.2699999996"/>
    <n v="522677.90000000037"/>
    <n v="0.94133732208223664"/>
    <x v="29"/>
    <x v="1"/>
    <x v="8"/>
    <n v="1"/>
  </r>
  <r>
    <x v="0"/>
    <x v="1"/>
    <x v="1"/>
    <n v="50348"/>
    <x v="1"/>
    <s v="MANTENIMIENTO VIAL Y OBRAS COMPLEMENTARIAS EN CALLE MANUEL ALONSO ENTRE CALLE SAUCE Y CAPULÍN; PAVIMENTACIÓN Y OBRAS COMPLEMENTARIAS EN CALLE SAN ALFONSO ENTRE CALLE LAURELES Y CALLE CAPULÍN, EN LA COLONIA SANTA MARGARITA, DEL MUNICIPIO DE PUEBLA."/>
    <s v="EDIFFICA BATLLO INMOBILIARIOS, S.A DE C.V "/>
    <x v="10"/>
    <n v="0"/>
    <n v="0"/>
    <n v="19127172.719999999"/>
    <n v="18909828.82"/>
    <n v="0"/>
    <n v="18909828.82"/>
    <n v="11527742.16"/>
    <n v="7382086.6600000001"/>
    <n v="0.60961642063135291"/>
    <x v="30"/>
    <x v="1"/>
    <x v="8"/>
    <n v="0.4"/>
  </r>
  <r>
    <x v="0"/>
    <x v="1"/>
    <x v="8"/>
    <n v="50349"/>
    <x v="2"/>
    <s v="REHABILITACIÓN EMERGENTE DE INFRAESTRUCTURA HIDROSANITARIA, EN DIVERSAS CALLES DE COLONIAS Y JUNTAS AUXILIARES DEL MUNICIPIO DE PUEBLA. "/>
    <s v="BEREDA CAMINOS OBRA CIVIL Y REMODELACIONES, S DE R.L. DE C.V."/>
    <x v="10"/>
    <n v="0"/>
    <n v="0"/>
    <n v="999222.11"/>
    <n v="997358.38"/>
    <n v="3700568.45"/>
    <n v="4697926.83"/>
    <n v="4095835.8"/>
    <n v="602091.03000000026"/>
    <n v="0.87183899371204121"/>
    <x v="0"/>
    <x v="0"/>
    <x v="8"/>
    <n v="0.84"/>
  </r>
  <r>
    <x v="0"/>
    <x v="1"/>
    <x v="5"/>
    <n v="40503"/>
    <x v="1"/>
    <s v="PAVIMENTACIÓN Y OBRAS COMPLEMENTARIAS EN CALLE PALMAS ENTRE CALLE RIVERA DEL ATOYAC SUR Y FIN DE CALLE, EN LA COLONIA SANTA CRUZ BUENAVISTA,DE LA JUNTA AUXILIAR IGNACIO ROMERO VARGAS, DEL MUNICIPIO DE PUEBLA"/>
    <s v="RETZA ESTUDIOS, S.A DE C.V "/>
    <x v="11"/>
    <n v="0"/>
    <n v="0"/>
    <n v="2090634.27"/>
    <n v="2089373.3"/>
    <n v="0"/>
    <n v="2089373.3"/>
    <n v="1887536.73"/>
    <n v="201836.57000000007"/>
    <n v="0.90339851188870846"/>
    <x v="31"/>
    <x v="1"/>
    <x v="8"/>
    <n v="1"/>
  </r>
  <r>
    <x v="0"/>
    <x v="1"/>
    <x v="5"/>
    <n v="50345"/>
    <x v="1"/>
    <s v="PAVIMENTACIÓN Y OBRAS COMPLEMENTARIAS EN CALLE PALMAS ENTRE AVENIDA RAFAEL ÁVILA CAMACHO Y CALLE RIVERA DEL ATOYAC SUR, EN LA COLONIA SANTA CRUZ BUENA VISTA, DE LA JUNTA AUXILIAR IGNACIO ROMERO VARGAS, DEL MUNICIPIO DE PUEBLA"/>
    <s v="CONSTRUCTORA DAVENTY, S. DE R.L. DE C.V"/>
    <x v="12"/>
    <n v="0"/>
    <n v="0"/>
    <n v="5097941.9000000004"/>
    <n v="5072956.57"/>
    <n v="0"/>
    <n v="5072956.57"/>
    <n v="4537118.8499999996"/>
    <n v="535837.72000000067"/>
    <n v="0.89437368276149054"/>
    <x v="32"/>
    <x v="1"/>
    <x v="8"/>
    <n v="1"/>
  </r>
  <r>
    <x v="0"/>
    <x v="1"/>
    <x v="3"/>
    <n v="26378"/>
    <x v="1"/>
    <s v="BACHEO CON MEZCLA ASFÁLTICA EN CALIENTE 2025-1, EN VIALIDADES DE LAS 17 JUNTAS AUXILIARES Y CABECERA MUNICIPAL DEL MUNICIPIO DE PUEBLA "/>
    <s v="DH ESCAMELA,S.A. DE C.V."/>
    <x v="13"/>
    <n v="0"/>
    <n v="0"/>
    <n v="49999988.399999999"/>
    <n v="49499951.259999998"/>
    <n v="0"/>
    <n v="49499951.259999998"/>
    <n v="49499951.259999998"/>
    <n v="0"/>
    <n v="1"/>
    <x v="0"/>
    <x v="0"/>
    <x v="8"/>
    <n v="1"/>
  </r>
  <r>
    <x v="0"/>
    <x v="1"/>
    <x v="0"/>
    <n v="26379"/>
    <x v="1"/>
    <s v="MANTENIMIENTO INTEGRAL 2025-1 A LOS SERVICIOS DE INFRAESTRUCTURA, ESPACIOS PÚBLICOS, VIALIDADES E INMUEBLES HISTÓRICOS, DE LA ZONA DE MONUMENTOS DEL MUNICIPIO DE PUEBLA"/>
    <s v="INFRAESTRUCTURA Y CONSTRUCCIONES DE PUEBLA, S.A DE C.V "/>
    <x v="14"/>
    <n v="0"/>
    <n v="0"/>
    <n v="4999685.57"/>
    <n v="4943024.32"/>
    <n v="1730058.51"/>
    <n v="6673082.8300000001"/>
    <n v="1792564.47"/>
    <n v="4880518.3600000003"/>
    <n v="0.26862613812332969"/>
    <x v="0"/>
    <x v="0"/>
    <x v="8"/>
    <n v="0.80449999999999999"/>
  </r>
  <r>
    <x v="0"/>
    <x v="1"/>
    <x v="9"/>
    <n v="26385"/>
    <x v="2"/>
    <s v="SUPERVISIÓN EXTERNA DEL EQUIPAMIENTO Y OBRAS COMPLEMENTARIAS PARA LA IMPLEMENTACIÓN DE: SISTEMA DE CALENTADOR SOLAR, SISTEMA DE ALMACENAMIENTO DE AGUA MEDIANTE TINACOS, SISTEMA DE CAPTACIÓN PLUVIAL Y DE ELECTRIFICACIÓN NO CONVENCIONAL CON PANEL SOLAR, EN DIFERENTES VIVIENDAS UBICADAS EN ZONAS DE ATENCIÓN PRIORITARIA DEL MUNICIPIO DE PUEBLA"/>
    <s v="LOZADA Y RODRÍGUEZ COMPAÑÍA INGENIERÍA GEOTÉCNICA S. DE  R.L. DE C.V."/>
    <x v="14"/>
    <n v="0"/>
    <n v="0"/>
    <n v="1282820.8"/>
    <n v="1282240"/>
    <n v="0"/>
    <n v="1282240"/>
    <n v="384672"/>
    <n v="897568"/>
    <n v="0.3"/>
    <x v="0"/>
    <x v="0"/>
    <x v="8"/>
    <n v="0.28000000000000003"/>
  </r>
  <r>
    <x v="0"/>
    <x v="1"/>
    <x v="0"/>
    <n v="26386"/>
    <x v="2"/>
    <s v="INTERVENCIÓN Y MANTENIMIENTO DEL TEMPLO DE SANTA INÉS DEL MONTEPULCIANO; UBICADO EN CALLE 3 SUR NO. 903 CENTRO HISTÓRICO DE PUEBLA,PUEBLA;2a ETAPA. "/>
    <s v="CORPORATIVO CONSTRUCTOR CUROSA, S.A. DE C.V"/>
    <x v="14"/>
    <n v="0"/>
    <n v="0"/>
    <n v="1500000"/>
    <n v="1498894.06"/>
    <n v="0"/>
    <n v="1498894.06"/>
    <n v="449668.22"/>
    <n v="1049225.8400000001"/>
    <n v="0.30000000133431709"/>
    <x v="0"/>
    <x v="0"/>
    <x v="8"/>
    <n v="7.4200000000000002E-2"/>
  </r>
  <r>
    <x v="0"/>
    <x v="1"/>
    <x v="13"/>
    <n v="26387"/>
    <x v="2"/>
    <s v="REHABILITACIÓN DE TECHUMBRE EN ÁREA DE FLORES Y VARIOS DEL MERCADO INDEPENCIA UBICADO EN 95 PONIENTE O 2DA PRIVADA DE CASTILLOTLA ENTRE 11 SUR Y 13 SUR, COLONIA LOS PINOS MAYORAZGO, JUNTA AUXILIAR SAN BALTAZAR CAMPECHE, MUNICIPIO DE PUEBLA."/>
    <s v="CONEKTA CONSTRUCCIÓN Y ENLACES, S.A.P.I. DE C.V"/>
    <x v="14"/>
    <n v="0"/>
    <n v="0"/>
    <n v="1894404.56"/>
    <n v="1890975.1"/>
    <n v="0"/>
    <n v="1890975.1"/>
    <n v="1616991.37"/>
    <n v="273983.73"/>
    <n v="0.85510981609435266"/>
    <x v="0"/>
    <x v="0"/>
    <x v="8"/>
    <n v="0.6"/>
  </r>
  <r>
    <x v="0"/>
    <x v="1"/>
    <x v="14"/>
    <n v="26390"/>
    <x v="2"/>
    <s v=" ESTUDIO DE GEOTECNIA, EVALUACIÓN DE PAVIMENTO_x000a_Y ESTUDIOS TOPOGRÁFICOS PARA DIFERENTES VIALIDADES DEL MUNICIPIO DE PUEBLA, 2025."/>
    <s v="LABORATORIO DE CONTROL DE CALIDAD Y SUPERVISIÓN, S.A. DE C.V"/>
    <x v="14"/>
    <n v="0"/>
    <n v="0"/>
    <n v="1499516.69"/>
    <n v="1483372.86"/>
    <n v="0"/>
    <n v="1483372.86"/>
    <n v="1476339.63"/>
    <n v="7033.2300000002142"/>
    <n v="0.99525862297359258"/>
    <x v="0"/>
    <x v="0"/>
    <x v="8"/>
    <n v="0.63219999999999998"/>
  </r>
  <r>
    <x v="0"/>
    <x v="1"/>
    <x v="1"/>
    <n v="26392"/>
    <x v="2"/>
    <s v="REHABILITACIÓN VIAL CON CONCRETO ASFALTICO Y OBRAS COMPLEMENTARIAS DEL CAMINO VIEJO A BALCONES ENTRE AVENIDA MARIO BENEDETTI Y CALLE SANTA LEONOR O CALLE 4TA. PRIVADA DE LA CONCEPCIÓN, AVENIDA MIGUEL DE LA MADRID HURTADO ENTRE CALLE SANTA LEONOR O CALLE 5TA. PRIVADA DE LA CONCEPCIÓN Y PROLONGACIÓN DE LA 16 DE SEPTIEMBRE DE LAS COLONIAS CONSTITUCIÓN MEXICANA, SANTA LUCIA, LA CONCEPCIÓN SUR, S.N.T.E., SAN ALFONSO, GUADALUPE HIDALGO 2DA. SECCIÓN, DE LA JUNTA AUXILIAR SAN FRANCISCO TOTIMEHUACAN DEL MUNICIPIO DE PUEBLA "/>
    <s v="ZDANIYA, S.A. DE C.V"/>
    <x v="14"/>
    <n v="0"/>
    <n v="0"/>
    <n v="56989309.759999998"/>
    <n v="56745533.640000001"/>
    <n v="18612964.920000002"/>
    <n v="75358498.560000002"/>
    <n v="17023660.09"/>
    <n v="58334838.469999999"/>
    <n v="0.22590232575355598"/>
    <x v="33"/>
    <x v="1"/>
    <x v="8"/>
    <n v="0"/>
  </r>
  <r>
    <x v="1"/>
    <x v="0"/>
    <x v="3"/>
    <n v="26376"/>
    <x v="0"/>
    <s v="BACHEO CON MEZCLA ASFÁLTICA EN CALIENTE 2, 2024, UBICADO EN DIFERENTES CALLES DE LOS  CUATRO CUADRANTES DEL MUNICIPIO DE PUEBLA  UBICACIÓN DIFERENTES CALLES DE LOS CUATRO CUADRANTES  DEL MUNICIPIO DE PUEBLA,"/>
    <s v="CONSTRUCTORA OSAKE S.A. DE  C.V. "/>
    <x v="15"/>
    <n v="0"/>
    <n v="0"/>
    <n v="5604988.1799999997"/>
    <n v="5604988.1799999997"/>
    <n v="0"/>
    <n v="5604988.1799999997"/>
    <n v="5604988.1799999997"/>
    <n v="0"/>
    <n v="1"/>
    <x v="0"/>
    <x v="0"/>
    <x v="8"/>
    <n v="1"/>
  </r>
  <r>
    <x v="2"/>
    <x v="1"/>
    <x v="15"/>
    <n v="26377"/>
    <x v="1"/>
    <s v="MODERNIZACIÓN Y MANTENIMIENTO DE LA UNIDAD MÉDICA INTEGRAL DEL SISTEMA MUNICIPAL DIF PUEBLA, UBICADO EN AVENIDA CUE MERLO 201, COLONIA SAN BALTAZAR CAMPECHE Y REHABILITACIPON DE MURO AL INTERIO DEL CENTRO DCAPACITACIÓN YDESARROLLO MUNICIPAL (CECADE)"/>
    <s v="INMOBILIARIA CASTITAS, S.A. DE C.V."/>
    <x v="15"/>
    <n v="0"/>
    <n v="0"/>
    <n v="961224.08"/>
    <n v="938653.92"/>
    <n v="0"/>
    <n v="938653.92"/>
    <n v="938653.92"/>
    <n v="0"/>
    <n v="1"/>
    <x v="0"/>
    <x v="0"/>
    <x v="8"/>
    <n v="1"/>
  </r>
  <r>
    <x v="3"/>
    <x v="1"/>
    <x v="3"/>
    <n v="26380"/>
    <x v="1"/>
    <s v="BACHEO CON MEZCLA ASFÁLTICA EN FRÍO 2025-1, EN VIALIDADES DE LAS 17 JUNTAS AUXILIARES Y LA CABECERA MUNICIPAL, DEL MUNICIPIO DE PUEBLA "/>
    <s v="GREEN PATCHER MÉXICO, S. DE R.L. DE C.V."/>
    <x v="16"/>
    <n v="0"/>
    <n v="0"/>
    <n v="9999048.3300000001"/>
    <n v="9936334.0099999998"/>
    <n v="0"/>
    <n v="9936334.0099999998"/>
    <n v="9243377.2200000007"/>
    <n v="692956.78999999911"/>
    <n v="0.93026031640013285"/>
    <x v="0"/>
    <x v="0"/>
    <x v="8"/>
    <n v="1"/>
  </r>
  <r>
    <x v="4"/>
    <x v="1"/>
    <x v="3"/>
    <n v="26381"/>
    <x v="1"/>
    <s v=" BACHEO CON MEZCLA ASFÁLTICA EN CALIENTE 2025-2, EN VIALIDADES DE LAS 17 JUNTAS AUXILIARES Y LA CABECERA_x000a_MUNICIPAL DEL MUNICIPIO DE PUEBLA."/>
    <s v="GRUPO ME CONSTRUYO MÉXICO, S. DE R.L. DE C.V. "/>
    <x v="16"/>
    <n v="0"/>
    <n v="0"/>
    <n v="9999149.5600000005"/>
    <n v="9899148.2799999993"/>
    <n v="0"/>
    <n v="9899148.2799999993"/>
    <n v="9899148.2799999993"/>
    <n v="0"/>
    <n v="1"/>
    <x v="0"/>
    <x v="0"/>
    <x v="8"/>
    <n v="1"/>
  </r>
  <r>
    <x v="5"/>
    <x v="1"/>
    <x v="13"/>
    <n v="26382"/>
    <x v="1"/>
    <s v="CONSTRUCCIÓN DE BARDA PERIMETRAL EN CENTRAL DE ABASTOS SOBRE LA CALLE INTERIOR NORTE C. ENTRE CALZADA DEL CONDE Y VÍA CORTA A SANTA ANA, EN LA COLONIA CENTRAL DE ABASTOS, DE LA JUNTA AUXILIAR DE SAN PABLO XOCHIMEHUACAN, DEL MUNICIPIO DE PUEBLA"/>
    <s v="CONEKTA CONSTRUCCIÓN Y ENLACES,S.A.P.I. DE C.V. "/>
    <x v="16"/>
    <n v="0"/>
    <n v="0"/>
    <n v="9281336.6400000006"/>
    <n v="9188452.25"/>
    <n v="0"/>
    <n v="9188452.25"/>
    <n v="5822954.7000000002"/>
    <n v="3365497.55"/>
    <n v="0.63372530449837183"/>
    <x v="0"/>
    <x v="0"/>
    <x v="8"/>
    <n v="0.745"/>
  </r>
  <r>
    <x v="6"/>
    <x v="1"/>
    <x v="8"/>
    <n v="26383"/>
    <x v="2"/>
    <s v="EQUIPAMIENTO DE POZO PROFUNDO PARA AGUA POTABLE DENOMINADO EL CARRIL, UBICADO EN CALLE 16 DE SEPTIEMBRE S/N, COLONIA SANTA CATARINA, DE LA JUNTA AUXILIAR SANTO TOMÁS CHAUTLA, DEL MUNICIPIO DE PUEBLA"/>
    <s v="ELEMET CONSTRUCCIONES, S. DE R. L. DE C.V. "/>
    <x v="16"/>
    <n v="0"/>
    <n v="0"/>
    <n v="1190433.55"/>
    <n v="1175652.9099999999"/>
    <n v="0"/>
    <n v="1175652.9099999999"/>
    <n v="1170078.69"/>
    <n v="5574.2199999999721"/>
    <n v="0.9952586176135948"/>
    <x v="0"/>
    <x v="0"/>
    <x v="8"/>
    <n v="1"/>
  </r>
  <r>
    <x v="7"/>
    <x v="1"/>
    <x v="3"/>
    <n v="26384"/>
    <x v="1"/>
    <s v="BACHEO CON MEZCLA ASFÁLTICA EN CALIENTE 2025-3, EN VIALIDADES DE LAS 17 JUNTAS AUXILIARES Y LA CABECERA MUNICIPAL DEL MUNICIPIO DE PUEBLA"/>
    <s v="CONSTRUCTORA OSAKE, S.A DE C.V "/>
    <x v="16"/>
    <n v="0"/>
    <n v="0"/>
    <n v="29999412.77"/>
    <n v="29694127.280000001"/>
    <n v="0"/>
    <n v="29694127.280000001"/>
    <n v="29694127.280000001"/>
    <n v="0"/>
    <n v="1"/>
    <x v="0"/>
    <x v="0"/>
    <x v="8"/>
    <n v="1"/>
  </r>
  <r>
    <x v="8"/>
    <x v="1"/>
    <x v="12"/>
    <n v="26388"/>
    <x v="2"/>
    <s v="CONSTRUCCIÓN DE PLATAFORMAS EN PARADAS DE TRANSPORTE PÚBLICO EN DIVERSOS PUNTOS DEL MUNICIPIO DE PUEBLA"/>
    <s v="BEZAFYRO CONSTRUCCIONES, S.A. DE C.V"/>
    <x v="16"/>
    <n v="0"/>
    <n v="0"/>
    <n v="679774.79"/>
    <n v="668293.19999999995"/>
    <n v="0"/>
    <n v="668293.19999999995"/>
    <n v="200487.96"/>
    <n v="467805.24"/>
    <n v="0.3"/>
    <x v="0"/>
    <x v="0"/>
    <x v="8"/>
    <n v="0.56569999999999998"/>
  </r>
  <r>
    <x v="9"/>
    <x v="1"/>
    <x v="15"/>
    <n v="26389"/>
    <x v="2"/>
    <s v="CONSTRUCCIÓN DE ESPACIOS ALIMENTARIOS (DESAYUNADORES) PARA EL FORTALECIMIENTO DEL PROGRAMA DE ALIMENTACIÓN ESCOLAR EN LA MODALIDAD CALIENTE, EN DIVERSAS ESCUELAS PÚBLICAS DE NIVEL BÁSICO, EN EL MUNICIPIO DE PUEBLA. "/>
    <s v="JORGE VICTOR RÍOS PERALTA"/>
    <x v="16"/>
    <n v="0"/>
    <n v="0"/>
    <n v="9987263.6300000008"/>
    <n v="9887586.4900000002"/>
    <n v="0"/>
    <n v="9887586.4900000002"/>
    <n v="4039822.32"/>
    <n v="5847764.1699999999"/>
    <n v="0.40857516888330142"/>
    <x v="0"/>
    <x v="0"/>
    <x v="8"/>
    <n v="0.1701"/>
  </r>
  <r>
    <x v="10"/>
    <x v="1"/>
    <x v="3"/>
    <n v="26391"/>
    <x v="1"/>
    <s v="BACHEO CON MEZCLA ASFÁLTICA EN CALIENTE 2025-4, EN VIALIDADES DE LAS 17 JUNTAS AUXILIARES Y LA CABECERA MUNICIPAL DDEL MUNICIPIO DE PUEBLA "/>
    <s v="PROYECTOS Y SOLUCIONES EDIFICARE, S. DE R.L. DE C.V."/>
    <x v="16"/>
    <n v="0"/>
    <n v="0"/>
    <n v="29999412.77"/>
    <n v="29699389.350000001"/>
    <n v="0"/>
    <n v="29699389.350000001"/>
    <n v="14315465"/>
    <n v="15383924.350000001"/>
    <n v="0.48201209901307279"/>
    <x v="0"/>
    <x v="0"/>
    <x v="8"/>
    <n v="0.64749999999999996"/>
  </r>
  <r>
    <x v="11"/>
    <x v="1"/>
    <x v="16"/>
    <n v="26393"/>
    <x v="2"/>
    <s v="REMODELACIÓN Y ADECUACIÓN EN EL EDIFICIO DEL CAM (CENTRO DE ATENCIÓN MUNICIPAL), UBICADO EN AVENIDA 4 PONIENTE ESQUINA CON 11 NORTE, EN LA COLONIA CENTRO DEL MUNICIPIO DE PUEBLA"/>
    <s v="ELEMET CONSTRUCCIONES, S. DE R.L. DE C.V."/>
    <x v="16"/>
    <n v="0"/>
    <n v="0"/>
    <n v="4299077.5999999996"/>
    <n v="4285847.7"/>
    <n v="0"/>
    <n v="4285847.7"/>
    <n v="1285754.31"/>
    <n v="3000093.39"/>
    <n v="0.3"/>
    <x v="0"/>
    <x v="0"/>
    <x v="8"/>
    <n v="0"/>
  </r>
  <r>
    <x v="12"/>
    <x v="1"/>
    <x v="17"/>
    <n v="26394"/>
    <x v="2"/>
    <s v="REHABILITACIÓN DE ACCESOS Y ELEMENTOS DE_x000a_MOVILIDAD E INFRAESTRUCTURA URBANA EN LA 25 ZONA MILITAR, UBICADO EN AVENIDA LIBERTAD S/N DE LA_x000a_JUNTA AUXILIAR IGNACIO ZARAGOZA DEL MUNICIPIO DE PUEBLA."/>
    <s v=" HOVAL ADVANCE ASFALTOS Y EMULSIONES, S.A. DE C.V"/>
    <x v="16"/>
    <n v="0"/>
    <n v="0"/>
    <n v="1289890.4099999999"/>
    <n v="1275411.82"/>
    <n v="0"/>
    <n v="1275411.82"/>
    <n v="0"/>
    <n v="1275411.82"/>
    <n v="0"/>
    <x v="0"/>
    <x v="0"/>
    <x v="8"/>
    <m/>
  </r>
  <r>
    <x v="12"/>
    <x v="1"/>
    <x v="18"/>
    <n v="26395"/>
    <x v="2"/>
    <s v="PROYECTO INTEGRAL A PRECIO ALZADO PARA LA_x000a_REHABILITACIÓN EMERGENTE DEL PUENTE VEHICULAR EN LA CALLE 5 DE MAYO ENTRE CALLE 6 DE ABRIL Y CALLE_x000a_&quot;A&quot; EN LAS COLONIAS SAN JOSÉ LOS CERRITOS Y PARQUE INDUSTRIAL 5 DE MAYO DE LA JUNTA AUXILIAR DE SAN_x000a_PABLO ХОСНІМEHUACAN EN EL MUNICIPIO DE PUEBLA."/>
    <s v="ADET CONSTRUCCIPON INMOBILIARIA, S.A. DE C.V. "/>
    <x v="16"/>
    <n v="0"/>
    <n v="0"/>
    <n v="6699999.9900000002"/>
    <n v="6626461.8600000003"/>
    <n v="0"/>
    <n v="6626461.8600000003"/>
    <n v="0"/>
    <n v="6626461.8600000003"/>
    <n v="0"/>
    <x v="0"/>
    <x v="0"/>
    <x v="8"/>
    <m/>
  </r>
  <r>
    <x v="12"/>
    <x v="1"/>
    <x v="0"/>
    <n v="40505"/>
    <x v="2"/>
    <s v="MEJORAMIENTO A LA IMAGEN URBANA, BARRIO DE EL ALTO Y MANTENIMIENTO AL TEMPLO DE BALVANERA MARÍA AUXILIADORA, DEL MUNICIPIO DE PUEBLA. "/>
    <s v="CONSTRUCCIÓN Y MATERIALES JABETZA 21, S.A. DE C.V"/>
    <x v="17"/>
    <n v="0"/>
    <n v="813700.00000000023"/>
    <n v="1500000.74"/>
    <n v="2311868.34"/>
    <n v="0"/>
    <n v="2311868.34"/>
    <n v="1730759.13"/>
    <n v="581109.21"/>
    <n v="0.74864087199706186"/>
    <x v="0"/>
    <x v="0"/>
    <x v="11"/>
    <n v="0.55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88096F-EB1A-4101-B657-9C87C761E136}"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H53" firstHeaderRow="0" firstDataRow="1" firstDataCol="1"/>
  <pivotFields count="21">
    <pivotField axis="axisRow" showAll="0">
      <items count="14">
        <item x="1"/>
        <item x="2"/>
        <item x="3"/>
        <item x="4"/>
        <item x="5"/>
        <item x="6"/>
        <item x="7"/>
        <item x="8"/>
        <item x="9"/>
        <item x="10"/>
        <item x="11"/>
        <item x="0"/>
        <item x="12"/>
        <item t="default"/>
      </items>
    </pivotField>
    <pivotField axis="axisRow" multipleItemSelectionAllowed="1" showAll="0">
      <items count="3">
        <item x="0"/>
        <item x="1"/>
        <item t="default"/>
      </items>
    </pivotField>
    <pivotField axis="axisRow" showAll="0">
      <items count="25">
        <item x="2"/>
        <item x="3"/>
        <item x="7"/>
        <item m="1" x="20"/>
        <item x="16"/>
        <item x="0"/>
        <item x="15"/>
        <item m="1" x="22"/>
        <item x="8"/>
        <item m="1" x="21"/>
        <item x="10"/>
        <item x="9"/>
        <item x="4"/>
        <item x="13"/>
        <item x="12"/>
        <item m="1" x="23"/>
        <item x="5"/>
        <item x="11"/>
        <item x="1"/>
        <item x="14"/>
        <item m="1" x="19"/>
        <item x="6"/>
        <item x="17"/>
        <item x="18"/>
        <item t="default"/>
      </items>
    </pivotField>
    <pivotField dataField="1" showAll="0"/>
    <pivotField showAll="0">
      <items count="4">
        <item x="2"/>
        <item x="1"/>
        <item x="0"/>
        <item t="default"/>
      </items>
    </pivotField>
    <pivotField showAll="0"/>
    <pivotField showAll="0"/>
    <pivotField dataField="1" showAll="0">
      <items count="19">
        <item x="0"/>
        <item x="1"/>
        <item x="2"/>
        <item x="3"/>
        <item x="4"/>
        <item x="5"/>
        <item x="6"/>
        <item x="7"/>
        <item x="8"/>
        <item x="9"/>
        <item x="10"/>
        <item x="11"/>
        <item x="12"/>
        <item x="13"/>
        <item x="14"/>
        <item x="15"/>
        <item x="16"/>
        <item x="17"/>
        <item t="default"/>
      </items>
    </pivotField>
    <pivotField dataField="1" showAll="0"/>
    <pivotField dataField="1" showAll="0"/>
    <pivotField dataField="1" numFmtId="44" showAll="0"/>
    <pivotField dataField="1" numFmtId="44" showAll="0"/>
    <pivotField showAll="0"/>
    <pivotField numFmtId="44" showAll="0"/>
    <pivotField showAll="0"/>
    <pivotField numFmtId="44" showAll="0"/>
    <pivotField numFmtId="9" showAll="0"/>
    <pivotField showAll="0">
      <items count="35">
        <item x="32"/>
        <item x="15"/>
        <item x="14"/>
        <item x="25"/>
        <item x="11"/>
        <item x="9"/>
        <item x="26"/>
        <item x="8"/>
        <item x="28"/>
        <item x="1"/>
        <item x="10"/>
        <item x="2"/>
        <item x="13"/>
        <item x="22"/>
        <item x="12"/>
        <item x="16"/>
        <item x="19"/>
        <item x="31"/>
        <item x="29"/>
        <item x="6"/>
        <item x="23"/>
        <item x="20"/>
        <item x="5"/>
        <item x="4"/>
        <item x="30"/>
        <item x="27"/>
        <item x="7"/>
        <item x="18"/>
        <item x="21"/>
        <item x="3"/>
        <item x="24"/>
        <item x="33"/>
        <item x="17"/>
        <item x="0"/>
        <item t="default"/>
      </items>
    </pivotField>
    <pivotField showAll="0">
      <items count="4">
        <item x="2"/>
        <item x="1"/>
        <item x="0"/>
        <item t="default"/>
      </items>
    </pivotField>
    <pivotField showAll="0">
      <items count="13">
        <item x="4"/>
        <item x="5"/>
        <item x="3"/>
        <item x="2"/>
        <item x="1"/>
        <item x="10"/>
        <item x="6"/>
        <item x="7"/>
        <item x="0"/>
        <item x="9"/>
        <item x="8"/>
        <item x="11"/>
        <item t="default"/>
      </items>
    </pivotField>
    <pivotField dataField="1" showAll="0"/>
  </pivotFields>
  <rowFields count="3">
    <field x="1"/>
    <field x="0"/>
    <field x="2"/>
  </rowFields>
  <rowItems count="50">
    <i>
      <x/>
    </i>
    <i r="1">
      <x/>
    </i>
    <i r="2">
      <x v="1"/>
    </i>
    <i r="1">
      <x v="11"/>
    </i>
    <i r="2">
      <x/>
    </i>
    <i r="2">
      <x v="1"/>
    </i>
    <i r="2">
      <x v="5"/>
    </i>
    <i r="2">
      <x v="12"/>
    </i>
    <i r="2">
      <x v="16"/>
    </i>
    <i r="2">
      <x v="18"/>
    </i>
    <i r="2">
      <x v="21"/>
    </i>
    <i>
      <x v="1"/>
    </i>
    <i r="1">
      <x v="1"/>
    </i>
    <i r="2">
      <x v="6"/>
    </i>
    <i r="1">
      <x v="2"/>
    </i>
    <i r="2">
      <x v="1"/>
    </i>
    <i r="1">
      <x v="3"/>
    </i>
    <i r="2">
      <x v="1"/>
    </i>
    <i r="1">
      <x v="4"/>
    </i>
    <i r="2">
      <x v="13"/>
    </i>
    <i r="1">
      <x v="5"/>
    </i>
    <i r="2">
      <x v="8"/>
    </i>
    <i r="1">
      <x v="6"/>
    </i>
    <i r="2">
      <x v="1"/>
    </i>
    <i r="1">
      <x v="7"/>
    </i>
    <i r="2">
      <x v="14"/>
    </i>
    <i r="1">
      <x v="8"/>
    </i>
    <i r="2">
      <x v="6"/>
    </i>
    <i r="1">
      <x v="9"/>
    </i>
    <i r="2">
      <x v="1"/>
    </i>
    <i r="1">
      <x v="10"/>
    </i>
    <i r="2">
      <x v="4"/>
    </i>
    <i r="1">
      <x v="11"/>
    </i>
    <i r="2">
      <x v="1"/>
    </i>
    <i r="2">
      <x v="2"/>
    </i>
    <i r="2">
      <x v="5"/>
    </i>
    <i r="2">
      <x v="8"/>
    </i>
    <i r="2">
      <x v="10"/>
    </i>
    <i r="2">
      <x v="11"/>
    </i>
    <i r="2">
      <x v="13"/>
    </i>
    <i r="2">
      <x v="14"/>
    </i>
    <i r="2">
      <x v="16"/>
    </i>
    <i r="2">
      <x v="17"/>
    </i>
    <i r="2">
      <x v="18"/>
    </i>
    <i r="2">
      <x v="19"/>
    </i>
    <i r="1">
      <x v="12"/>
    </i>
    <i r="2">
      <x v="5"/>
    </i>
    <i r="2">
      <x v="22"/>
    </i>
    <i r="2">
      <x v="23"/>
    </i>
    <i t="grand">
      <x/>
    </i>
  </rowItems>
  <colFields count="1">
    <field x="-2"/>
  </colFields>
  <colItems count="7">
    <i>
      <x/>
    </i>
    <i i="1">
      <x v="1"/>
    </i>
    <i i="2">
      <x v="2"/>
    </i>
    <i i="3">
      <x v="3"/>
    </i>
    <i i="4">
      <x v="4"/>
    </i>
    <i i="5">
      <x v="5"/>
    </i>
    <i i="6">
      <x v="6"/>
    </i>
  </colItems>
  <dataFields count="7">
    <dataField name="Cuenta de FONDO" fld="7" subtotal="count" baseField="0" baseItem="0"/>
    <dataField name="Suma de OBRA" fld="3" baseField="0" baseItem="0"/>
    <dataField name="Suma de MONTO CONTRATO" fld="11" baseField="0" baseItem="0" numFmtId="44"/>
    <dataField name="Suma de RECURSOS ESTATAL" fld="8" baseField="0" baseItem="0"/>
    <dataField name="Suma de RECURSOS FEDERAL" fld="9" baseField="0" baseItem="0"/>
    <dataField name="Suma de RECURSOS MUNICIPIO" fld="10" baseField="0" baseItem="0" numFmtId="44"/>
    <dataField name="Suma de AVANCE FÍSICO" fld="20"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88EEEE-A04C-4240-BE41-BF03685816A1}">
  <we:reference id="wa200009404" version="1.0.0.5" store="es-E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5D0EB-BDFF-4E9A-91AC-1403D9E52313}">
  <sheetPr codeName="Hoja1"/>
  <dimension ref="A3:M53"/>
  <sheetViews>
    <sheetView workbookViewId="0">
      <selection activeCell="A16" sqref="A16"/>
    </sheetView>
  </sheetViews>
  <sheetFormatPr baseColWidth="10" defaultRowHeight="15" x14ac:dyDescent="0.25"/>
  <cols>
    <col min="1" max="1" width="64.7109375" bestFit="1" customWidth="1"/>
    <col min="2" max="2" width="17.140625" bestFit="1" customWidth="1"/>
    <col min="3" max="3" width="14" bestFit="1" customWidth="1"/>
    <col min="4" max="4" width="26.85546875" bestFit="1" customWidth="1"/>
    <col min="5" max="5" width="26.5703125" bestFit="1" customWidth="1"/>
    <col min="6" max="6" width="26.7109375" bestFit="1" customWidth="1"/>
    <col min="7" max="7" width="29.28515625" bestFit="1" customWidth="1"/>
    <col min="8" max="13" width="22.85546875" bestFit="1" customWidth="1"/>
  </cols>
  <sheetData>
    <row r="3" spans="1:13" x14ac:dyDescent="0.25">
      <c r="A3" s="58" t="s">
        <v>244</v>
      </c>
      <c r="B3" t="s">
        <v>263</v>
      </c>
      <c r="C3" t="s">
        <v>278</v>
      </c>
      <c r="D3" t="s">
        <v>282</v>
      </c>
      <c r="E3" t="s">
        <v>279</v>
      </c>
      <c r="F3" t="s">
        <v>280</v>
      </c>
      <c r="G3" t="s">
        <v>281</v>
      </c>
      <c r="H3" t="s">
        <v>283</v>
      </c>
    </row>
    <row r="4" spans="1:13" s="62" customFormat="1" x14ac:dyDescent="0.25">
      <c r="A4" s="59">
        <v>2024</v>
      </c>
      <c r="B4">
        <v>21</v>
      </c>
      <c r="C4">
        <v>870010</v>
      </c>
      <c r="D4" s="68">
        <v>252117561.84</v>
      </c>
      <c r="E4">
        <v>158573405.09</v>
      </c>
      <c r="F4">
        <v>0</v>
      </c>
      <c r="G4" s="68">
        <v>100054946.59</v>
      </c>
      <c r="H4">
        <v>21</v>
      </c>
      <c r="I4"/>
      <c r="J4"/>
      <c r="K4"/>
      <c r="L4"/>
      <c r="M4"/>
    </row>
    <row r="5" spans="1:13" s="62" customFormat="1" x14ac:dyDescent="0.25">
      <c r="A5" s="66">
        <v>1</v>
      </c>
      <c r="B5">
        <v>1</v>
      </c>
      <c r="C5">
        <v>26376</v>
      </c>
      <c r="D5" s="68">
        <v>5604988.1799999997</v>
      </c>
      <c r="E5">
        <v>0</v>
      </c>
      <c r="F5">
        <v>0</v>
      </c>
      <c r="G5" s="68">
        <v>5604988.1799999997</v>
      </c>
      <c r="H5">
        <v>1</v>
      </c>
      <c r="I5"/>
      <c r="J5"/>
      <c r="K5"/>
      <c r="L5"/>
      <c r="M5"/>
    </row>
    <row r="6" spans="1:13" s="62" customFormat="1" x14ac:dyDescent="0.25">
      <c r="A6" s="67" t="s">
        <v>218</v>
      </c>
      <c r="B6">
        <v>1</v>
      </c>
      <c r="C6">
        <v>26376</v>
      </c>
      <c r="D6" s="68">
        <v>5604988.1799999997</v>
      </c>
      <c r="E6">
        <v>0</v>
      </c>
      <c r="F6">
        <v>0</v>
      </c>
      <c r="G6" s="68">
        <v>5604988.1799999997</v>
      </c>
      <c r="H6">
        <v>1</v>
      </c>
      <c r="I6"/>
      <c r="J6"/>
      <c r="K6"/>
      <c r="L6"/>
      <c r="M6"/>
    </row>
    <row r="7" spans="1:13" x14ac:dyDescent="0.25">
      <c r="A7" s="66" t="s">
        <v>276</v>
      </c>
      <c r="B7">
        <v>20</v>
      </c>
      <c r="C7">
        <v>843634</v>
      </c>
      <c r="D7" s="68">
        <v>246512573.66000003</v>
      </c>
      <c r="E7">
        <v>158573405.09</v>
      </c>
      <c r="F7">
        <v>0</v>
      </c>
      <c r="G7" s="68">
        <v>94449958.409999996</v>
      </c>
      <c r="H7">
        <v>20</v>
      </c>
    </row>
    <row r="8" spans="1:13" s="63" customFormat="1" x14ac:dyDescent="0.25">
      <c r="A8" s="67" t="s">
        <v>233</v>
      </c>
      <c r="B8">
        <v>1</v>
      </c>
      <c r="C8">
        <v>40496</v>
      </c>
      <c r="D8" s="68">
        <v>24559296.030000001</v>
      </c>
      <c r="E8">
        <v>12404044.359999999</v>
      </c>
      <c r="F8"/>
      <c r="G8" s="68">
        <v>12404044.369999999</v>
      </c>
      <c r="H8">
        <v>1</v>
      </c>
      <c r="I8"/>
      <c r="J8"/>
      <c r="K8"/>
      <c r="L8"/>
      <c r="M8"/>
    </row>
    <row r="9" spans="1:13" s="62" customFormat="1" x14ac:dyDescent="0.25">
      <c r="A9" s="67" t="s">
        <v>218</v>
      </c>
      <c r="B9">
        <v>1</v>
      </c>
      <c r="C9">
        <v>40501</v>
      </c>
      <c r="D9" s="68">
        <v>9849963.1799999997</v>
      </c>
      <c r="E9">
        <v>3999954.99</v>
      </c>
      <c r="F9"/>
      <c r="G9" s="68">
        <v>6000000</v>
      </c>
      <c r="H9">
        <v>1</v>
      </c>
      <c r="I9"/>
      <c r="J9"/>
      <c r="K9"/>
      <c r="L9"/>
      <c r="M9"/>
    </row>
    <row r="10" spans="1:13" x14ac:dyDescent="0.25">
      <c r="A10" s="67" t="s">
        <v>223</v>
      </c>
      <c r="B10">
        <v>1</v>
      </c>
      <c r="C10">
        <v>70193</v>
      </c>
      <c r="D10" s="68">
        <v>1257754.78</v>
      </c>
      <c r="E10">
        <v>1263776.6499999999</v>
      </c>
      <c r="G10" s="68">
        <v>0</v>
      </c>
      <c r="H10">
        <v>1</v>
      </c>
    </row>
    <row r="11" spans="1:13" s="63" customFormat="1" x14ac:dyDescent="0.25">
      <c r="A11" s="67" t="s">
        <v>234</v>
      </c>
      <c r="B11">
        <v>1</v>
      </c>
      <c r="C11">
        <v>40502</v>
      </c>
      <c r="D11" s="68">
        <v>78772059.00999999</v>
      </c>
      <c r="E11">
        <v>60379612.780000001</v>
      </c>
      <c r="F11"/>
      <c r="G11" s="68">
        <v>20000000</v>
      </c>
      <c r="H11">
        <v>1</v>
      </c>
      <c r="I11"/>
      <c r="J11"/>
      <c r="K11"/>
      <c r="L11"/>
      <c r="M11"/>
    </row>
    <row r="12" spans="1:13" s="62" customFormat="1" x14ac:dyDescent="0.25">
      <c r="A12" s="67" t="s">
        <v>229</v>
      </c>
      <c r="B12">
        <v>7</v>
      </c>
      <c r="C12">
        <v>217275</v>
      </c>
      <c r="D12" s="68">
        <v>33330429.719999999</v>
      </c>
      <c r="E12">
        <v>0</v>
      </c>
      <c r="F12">
        <v>0</v>
      </c>
      <c r="G12" s="68">
        <v>34904382.229999997</v>
      </c>
      <c r="H12">
        <v>7</v>
      </c>
      <c r="I12"/>
      <c r="J12"/>
      <c r="K12"/>
      <c r="L12"/>
      <c r="M12"/>
    </row>
    <row r="13" spans="1:13" s="62" customFormat="1" x14ac:dyDescent="0.25">
      <c r="A13" s="67" t="s">
        <v>226</v>
      </c>
      <c r="B13">
        <v>7</v>
      </c>
      <c r="C13">
        <v>372582</v>
      </c>
      <c r="D13" s="68">
        <v>89510225.25</v>
      </c>
      <c r="E13">
        <v>80526016.309999987</v>
      </c>
      <c r="F13"/>
      <c r="G13" s="68">
        <v>10000000</v>
      </c>
      <c r="H13">
        <v>7</v>
      </c>
      <c r="I13"/>
      <c r="J13"/>
      <c r="K13"/>
      <c r="L13"/>
      <c r="M13"/>
    </row>
    <row r="14" spans="1:13" s="62" customFormat="1" x14ac:dyDescent="0.25">
      <c r="A14" s="67" t="s">
        <v>230</v>
      </c>
      <c r="B14">
        <v>2</v>
      </c>
      <c r="C14">
        <v>62085</v>
      </c>
      <c r="D14" s="68">
        <v>9232845.6900000013</v>
      </c>
      <c r="E14">
        <v>0</v>
      </c>
      <c r="F14">
        <v>0</v>
      </c>
      <c r="G14" s="68">
        <v>11141531.809999999</v>
      </c>
      <c r="H14">
        <v>2</v>
      </c>
      <c r="I14"/>
      <c r="J14"/>
      <c r="K14"/>
      <c r="L14"/>
      <c r="M14"/>
    </row>
    <row r="15" spans="1:13" s="62" customFormat="1" x14ac:dyDescent="0.25">
      <c r="A15" s="59">
        <v>2025</v>
      </c>
      <c r="B15">
        <v>49</v>
      </c>
      <c r="C15">
        <v>1834691</v>
      </c>
      <c r="D15" s="68">
        <v>804419740.6700002</v>
      </c>
      <c r="E15">
        <v>0</v>
      </c>
      <c r="F15">
        <v>813700.00000000023</v>
      </c>
      <c r="G15" s="68">
        <v>808476831.08000004</v>
      </c>
      <c r="H15">
        <v>32.892999999999994</v>
      </c>
      <c r="I15"/>
      <c r="J15"/>
      <c r="K15"/>
      <c r="L15"/>
      <c r="M15"/>
    </row>
    <row r="16" spans="1:13" s="62" customFormat="1" x14ac:dyDescent="0.25">
      <c r="A16" s="66">
        <v>2</v>
      </c>
      <c r="B16">
        <v>1</v>
      </c>
      <c r="C16">
        <v>26377</v>
      </c>
      <c r="D16" s="68">
        <v>938653.92</v>
      </c>
      <c r="E16">
        <v>0</v>
      </c>
      <c r="F16">
        <v>0</v>
      </c>
      <c r="G16" s="68">
        <v>961224.08</v>
      </c>
      <c r="H16">
        <v>1</v>
      </c>
      <c r="I16"/>
      <c r="J16"/>
      <c r="K16"/>
      <c r="L16"/>
      <c r="M16"/>
    </row>
    <row r="17" spans="1:13" s="62" customFormat="1" x14ac:dyDescent="0.25">
      <c r="A17" s="67" t="s">
        <v>219</v>
      </c>
      <c r="B17">
        <v>1</v>
      </c>
      <c r="C17">
        <v>26377</v>
      </c>
      <c r="D17" s="68">
        <v>938653.92</v>
      </c>
      <c r="E17">
        <v>0</v>
      </c>
      <c r="F17">
        <v>0</v>
      </c>
      <c r="G17" s="68">
        <v>961224.08</v>
      </c>
      <c r="H17">
        <v>1</v>
      </c>
      <c r="I17"/>
      <c r="J17"/>
      <c r="K17"/>
      <c r="L17"/>
      <c r="M17"/>
    </row>
    <row r="18" spans="1:13" s="62" customFormat="1" x14ac:dyDescent="0.25">
      <c r="A18" s="66">
        <v>3</v>
      </c>
      <c r="B18">
        <v>1</v>
      </c>
      <c r="C18">
        <v>26380</v>
      </c>
      <c r="D18" s="68">
        <v>9936334.0099999998</v>
      </c>
      <c r="E18">
        <v>0</v>
      </c>
      <c r="F18">
        <v>0</v>
      </c>
      <c r="G18" s="68">
        <v>9999048.3300000001</v>
      </c>
      <c r="H18">
        <v>1</v>
      </c>
      <c r="I18"/>
      <c r="J18"/>
      <c r="K18"/>
      <c r="L18"/>
      <c r="M18"/>
    </row>
    <row r="19" spans="1:13" s="62" customFormat="1" x14ac:dyDescent="0.25">
      <c r="A19" s="67" t="s">
        <v>218</v>
      </c>
      <c r="B19">
        <v>1</v>
      </c>
      <c r="C19">
        <v>26380</v>
      </c>
      <c r="D19" s="68">
        <v>9936334.0099999998</v>
      </c>
      <c r="E19">
        <v>0</v>
      </c>
      <c r="F19">
        <v>0</v>
      </c>
      <c r="G19" s="68">
        <v>9999048.3300000001</v>
      </c>
      <c r="H19">
        <v>1</v>
      </c>
      <c r="I19"/>
      <c r="J19"/>
      <c r="K19"/>
      <c r="L19"/>
      <c r="M19"/>
    </row>
    <row r="20" spans="1:13" x14ac:dyDescent="0.25">
      <c r="A20" s="66">
        <v>4</v>
      </c>
      <c r="B20">
        <v>1</v>
      </c>
      <c r="C20">
        <v>26381</v>
      </c>
      <c r="D20" s="68">
        <v>9899148.2799999993</v>
      </c>
      <c r="E20">
        <v>0</v>
      </c>
      <c r="F20">
        <v>0</v>
      </c>
      <c r="G20" s="68">
        <v>9999149.5600000005</v>
      </c>
      <c r="H20">
        <v>1</v>
      </c>
    </row>
    <row r="21" spans="1:13" x14ac:dyDescent="0.25">
      <c r="A21" s="67" t="s">
        <v>218</v>
      </c>
      <c r="B21">
        <v>1</v>
      </c>
      <c r="C21">
        <v>26381</v>
      </c>
      <c r="D21" s="68">
        <v>9899148.2799999993</v>
      </c>
      <c r="E21">
        <v>0</v>
      </c>
      <c r="F21">
        <v>0</v>
      </c>
      <c r="G21" s="68">
        <v>9999149.5600000005</v>
      </c>
      <c r="H21">
        <v>1</v>
      </c>
    </row>
    <row r="22" spans="1:13" x14ac:dyDescent="0.25">
      <c r="A22" s="66">
        <v>5</v>
      </c>
      <c r="B22">
        <v>1</v>
      </c>
      <c r="C22">
        <v>26382</v>
      </c>
      <c r="D22" s="68">
        <v>9188452.25</v>
      </c>
      <c r="E22">
        <v>0</v>
      </c>
      <c r="F22">
        <v>0</v>
      </c>
      <c r="G22" s="68">
        <v>9281336.6400000006</v>
      </c>
      <c r="H22">
        <v>0.745</v>
      </c>
    </row>
    <row r="23" spans="1:13" x14ac:dyDescent="0.25">
      <c r="A23" s="67" t="s">
        <v>220</v>
      </c>
      <c r="B23">
        <v>1</v>
      </c>
      <c r="C23">
        <v>26382</v>
      </c>
      <c r="D23" s="68">
        <v>9188452.25</v>
      </c>
      <c r="E23">
        <v>0</v>
      </c>
      <c r="F23">
        <v>0</v>
      </c>
      <c r="G23" s="68">
        <v>9281336.6400000006</v>
      </c>
      <c r="H23">
        <v>0.745</v>
      </c>
    </row>
    <row r="24" spans="1:13" x14ac:dyDescent="0.25">
      <c r="A24" s="66">
        <v>6</v>
      </c>
      <c r="B24">
        <v>1</v>
      </c>
      <c r="C24">
        <v>26383</v>
      </c>
      <c r="D24" s="68">
        <v>1175652.9099999999</v>
      </c>
      <c r="E24">
        <v>0</v>
      </c>
      <c r="F24">
        <v>0</v>
      </c>
      <c r="G24" s="68">
        <v>1190433.55</v>
      </c>
      <c r="H24">
        <v>1</v>
      </c>
    </row>
    <row r="25" spans="1:13" x14ac:dyDescent="0.25">
      <c r="A25" s="67" t="s">
        <v>221</v>
      </c>
      <c r="B25">
        <v>1</v>
      </c>
      <c r="C25">
        <v>26383</v>
      </c>
      <c r="D25" s="68">
        <v>1175652.9099999999</v>
      </c>
      <c r="E25">
        <v>0</v>
      </c>
      <c r="F25">
        <v>0</v>
      </c>
      <c r="G25" s="68">
        <v>1190433.55</v>
      </c>
      <c r="H25">
        <v>1</v>
      </c>
    </row>
    <row r="26" spans="1:13" x14ac:dyDescent="0.25">
      <c r="A26" s="66">
        <v>7</v>
      </c>
      <c r="B26">
        <v>1</v>
      </c>
      <c r="C26">
        <v>26384</v>
      </c>
      <c r="D26" s="68">
        <v>29694127.280000001</v>
      </c>
      <c r="E26">
        <v>0</v>
      </c>
      <c r="F26">
        <v>0</v>
      </c>
      <c r="G26" s="68">
        <v>29999412.77</v>
      </c>
      <c r="H26">
        <v>1</v>
      </c>
    </row>
    <row r="27" spans="1:13" x14ac:dyDescent="0.25">
      <c r="A27" s="67" t="s">
        <v>218</v>
      </c>
      <c r="B27">
        <v>1</v>
      </c>
      <c r="C27">
        <v>26384</v>
      </c>
      <c r="D27" s="68">
        <v>29694127.280000001</v>
      </c>
      <c r="E27">
        <v>0</v>
      </c>
      <c r="F27">
        <v>0</v>
      </c>
      <c r="G27" s="68">
        <v>29999412.77</v>
      </c>
      <c r="H27">
        <v>1</v>
      </c>
    </row>
    <row r="28" spans="1:13" x14ac:dyDescent="0.25">
      <c r="A28" s="66">
        <v>8</v>
      </c>
      <c r="B28">
        <v>1</v>
      </c>
      <c r="C28">
        <v>26388</v>
      </c>
      <c r="D28" s="68">
        <v>668293.19999999995</v>
      </c>
      <c r="E28">
        <v>0</v>
      </c>
      <c r="F28">
        <v>0</v>
      </c>
      <c r="G28" s="68">
        <v>679774.79</v>
      </c>
      <c r="H28">
        <v>0.56569999999999998</v>
      </c>
    </row>
    <row r="29" spans="1:13" x14ac:dyDescent="0.25">
      <c r="A29" s="67" t="s">
        <v>224</v>
      </c>
      <c r="B29">
        <v>1</v>
      </c>
      <c r="C29">
        <v>26388</v>
      </c>
      <c r="D29" s="68">
        <v>668293.19999999995</v>
      </c>
      <c r="E29">
        <v>0</v>
      </c>
      <c r="F29">
        <v>0</v>
      </c>
      <c r="G29" s="68">
        <v>679774.79</v>
      </c>
      <c r="H29">
        <v>0.56569999999999998</v>
      </c>
    </row>
    <row r="30" spans="1:13" x14ac:dyDescent="0.25">
      <c r="A30" s="66">
        <v>9</v>
      </c>
      <c r="B30">
        <v>1</v>
      </c>
      <c r="C30">
        <v>26389</v>
      </c>
      <c r="D30" s="68">
        <v>9887586.4900000002</v>
      </c>
      <c r="E30">
        <v>0</v>
      </c>
      <c r="F30">
        <v>0</v>
      </c>
      <c r="G30" s="68">
        <v>9987263.6300000008</v>
      </c>
      <c r="H30">
        <v>0.1701</v>
      </c>
    </row>
    <row r="31" spans="1:13" x14ac:dyDescent="0.25">
      <c r="A31" s="67" t="s">
        <v>219</v>
      </c>
      <c r="B31">
        <v>1</v>
      </c>
      <c r="C31">
        <v>26389</v>
      </c>
      <c r="D31" s="68">
        <v>9887586.4900000002</v>
      </c>
      <c r="E31">
        <v>0</v>
      </c>
      <c r="F31">
        <v>0</v>
      </c>
      <c r="G31" s="68">
        <v>9987263.6300000008</v>
      </c>
      <c r="H31">
        <v>0.1701</v>
      </c>
    </row>
    <row r="32" spans="1:13" x14ac:dyDescent="0.25">
      <c r="A32" s="66">
        <v>10</v>
      </c>
      <c r="B32">
        <v>1</v>
      </c>
      <c r="C32">
        <v>26391</v>
      </c>
      <c r="D32" s="68">
        <v>29699389.350000001</v>
      </c>
      <c r="E32">
        <v>0</v>
      </c>
      <c r="F32">
        <v>0</v>
      </c>
      <c r="G32" s="68">
        <v>29999412.77</v>
      </c>
      <c r="H32">
        <v>0.64749999999999996</v>
      </c>
    </row>
    <row r="33" spans="1:8" x14ac:dyDescent="0.25">
      <c r="A33" s="67" t="s">
        <v>218</v>
      </c>
      <c r="B33">
        <v>1</v>
      </c>
      <c r="C33">
        <v>26391</v>
      </c>
      <c r="D33" s="68">
        <v>29699389.350000001</v>
      </c>
      <c r="E33">
        <v>0</v>
      </c>
      <c r="F33">
        <v>0</v>
      </c>
      <c r="G33" s="68">
        <v>29999412.77</v>
      </c>
      <c r="H33">
        <v>0.64749999999999996</v>
      </c>
    </row>
    <row r="34" spans="1:8" x14ac:dyDescent="0.25">
      <c r="A34" s="66">
        <v>11</v>
      </c>
      <c r="B34">
        <v>1</v>
      </c>
      <c r="C34">
        <v>26393</v>
      </c>
      <c r="D34" s="68">
        <v>4285847.7</v>
      </c>
      <c r="E34">
        <v>0</v>
      </c>
      <c r="F34">
        <v>0</v>
      </c>
      <c r="G34" s="68">
        <v>4299077.5999999996</v>
      </c>
      <c r="H34">
        <v>0</v>
      </c>
    </row>
    <row r="35" spans="1:8" x14ac:dyDescent="0.25">
      <c r="A35" s="67" t="s">
        <v>227</v>
      </c>
      <c r="B35">
        <v>1</v>
      </c>
      <c r="C35">
        <v>26393</v>
      </c>
      <c r="D35" s="68">
        <v>4285847.7</v>
      </c>
      <c r="E35">
        <v>0</v>
      </c>
      <c r="F35">
        <v>0</v>
      </c>
      <c r="G35" s="68">
        <v>4299077.5999999996</v>
      </c>
      <c r="H35">
        <v>0</v>
      </c>
    </row>
    <row r="36" spans="1:8" x14ac:dyDescent="0.25">
      <c r="A36" s="66" t="s">
        <v>276</v>
      </c>
      <c r="B36">
        <v>36</v>
      </c>
      <c r="C36">
        <v>1477549</v>
      </c>
      <c r="D36" s="68">
        <v>688832513.25999999</v>
      </c>
      <c r="E36">
        <v>0</v>
      </c>
      <c r="F36">
        <v>0</v>
      </c>
      <c r="G36" s="68">
        <v>692590806.22000003</v>
      </c>
      <c r="H36">
        <v>25.214699999999993</v>
      </c>
    </row>
    <row r="37" spans="1:8" x14ac:dyDescent="0.25">
      <c r="A37" s="67" t="s">
        <v>218</v>
      </c>
      <c r="B37">
        <v>1</v>
      </c>
      <c r="C37">
        <v>26378</v>
      </c>
      <c r="D37" s="68">
        <v>49499951.259999998</v>
      </c>
      <c r="E37">
        <v>0</v>
      </c>
      <c r="F37">
        <v>0</v>
      </c>
      <c r="G37" s="68">
        <v>49999988.399999999</v>
      </c>
      <c r="H37">
        <v>1</v>
      </c>
    </row>
    <row r="38" spans="1:8" x14ac:dyDescent="0.25">
      <c r="A38" s="67" t="s">
        <v>231</v>
      </c>
      <c r="B38">
        <v>1</v>
      </c>
      <c r="C38">
        <v>31045</v>
      </c>
      <c r="D38" s="68">
        <v>53996872.829999998</v>
      </c>
      <c r="E38">
        <v>0</v>
      </c>
      <c r="F38">
        <v>0</v>
      </c>
      <c r="G38" s="68">
        <v>54000000</v>
      </c>
      <c r="H38">
        <v>0.75149999999999995</v>
      </c>
    </row>
    <row r="39" spans="1:8" x14ac:dyDescent="0.25">
      <c r="A39" s="67" t="s">
        <v>223</v>
      </c>
      <c r="B39">
        <v>2</v>
      </c>
      <c r="C39">
        <v>52765</v>
      </c>
      <c r="D39" s="68">
        <v>6441918.3800000008</v>
      </c>
      <c r="E39">
        <v>0</v>
      </c>
      <c r="F39">
        <v>0</v>
      </c>
      <c r="G39" s="68">
        <v>6499685.5700000003</v>
      </c>
      <c r="H39">
        <v>0.87870000000000004</v>
      </c>
    </row>
    <row r="40" spans="1:8" x14ac:dyDescent="0.25">
      <c r="A40" s="67" t="s">
        <v>221</v>
      </c>
      <c r="B40">
        <v>6</v>
      </c>
      <c r="C40">
        <v>224902</v>
      </c>
      <c r="D40" s="68">
        <v>80883218.229999989</v>
      </c>
      <c r="E40">
        <v>0</v>
      </c>
      <c r="F40">
        <v>0</v>
      </c>
      <c r="G40" s="68">
        <v>81344425.449999988</v>
      </c>
      <c r="H40">
        <v>4.6829999999999998</v>
      </c>
    </row>
    <row r="41" spans="1:8" x14ac:dyDescent="0.25">
      <c r="A41" s="67" t="s">
        <v>232</v>
      </c>
      <c r="B41">
        <v>1</v>
      </c>
      <c r="C41">
        <v>40504</v>
      </c>
      <c r="D41" s="68">
        <v>11950707.1</v>
      </c>
      <c r="E41">
        <v>0</v>
      </c>
      <c r="F41">
        <v>0</v>
      </c>
      <c r="G41" s="68">
        <v>12051722.34</v>
      </c>
      <c r="H41">
        <v>0.92</v>
      </c>
    </row>
    <row r="42" spans="1:8" x14ac:dyDescent="0.25">
      <c r="A42" s="67" t="s">
        <v>222</v>
      </c>
      <c r="B42">
        <v>5</v>
      </c>
      <c r="C42">
        <v>150615</v>
      </c>
      <c r="D42" s="68">
        <v>63630640.18</v>
      </c>
      <c r="E42">
        <v>0</v>
      </c>
      <c r="F42">
        <v>0</v>
      </c>
      <c r="G42" s="68">
        <v>64139976.57</v>
      </c>
      <c r="H42">
        <v>2.8327999999999998</v>
      </c>
    </row>
    <row r="43" spans="1:8" x14ac:dyDescent="0.25">
      <c r="A43" s="67" t="s">
        <v>220</v>
      </c>
      <c r="B43">
        <v>1</v>
      </c>
      <c r="C43">
        <v>26387</v>
      </c>
      <c r="D43" s="68">
        <v>1890975.1</v>
      </c>
      <c r="E43">
        <v>0</v>
      </c>
      <c r="F43">
        <v>0</v>
      </c>
      <c r="G43" s="68">
        <v>1894404.56</v>
      </c>
      <c r="H43">
        <v>0.6</v>
      </c>
    </row>
    <row r="44" spans="1:8" x14ac:dyDescent="0.25">
      <c r="A44" s="67" t="s">
        <v>224</v>
      </c>
      <c r="B44">
        <v>1</v>
      </c>
      <c r="C44">
        <v>50344</v>
      </c>
      <c r="D44" s="68">
        <v>995633.78</v>
      </c>
      <c r="E44">
        <v>0</v>
      </c>
      <c r="F44">
        <v>0</v>
      </c>
      <c r="G44" s="68">
        <v>1005143.93</v>
      </c>
      <c r="H44">
        <v>1</v>
      </c>
    </row>
    <row r="45" spans="1:8" x14ac:dyDescent="0.25">
      <c r="A45" s="67" t="s">
        <v>229</v>
      </c>
      <c r="B45">
        <v>7</v>
      </c>
      <c r="C45">
        <v>265420</v>
      </c>
      <c r="D45" s="68">
        <v>29710685.539999999</v>
      </c>
      <c r="E45">
        <v>0</v>
      </c>
      <c r="F45">
        <v>0</v>
      </c>
      <c r="G45" s="68">
        <v>29918463.960000001</v>
      </c>
      <c r="H45">
        <v>5.83</v>
      </c>
    </row>
    <row r="46" spans="1:8" x14ac:dyDescent="0.25">
      <c r="A46" s="67" t="s">
        <v>235</v>
      </c>
      <c r="B46">
        <v>1</v>
      </c>
      <c r="C46">
        <v>250107</v>
      </c>
      <c r="D46" s="68">
        <v>154350064.77000001</v>
      </c>
      <c r="G46" s="68">
        <v>154350064.77000001</v>
      </c>
      <c r="H46">
        <v>1</v>
      </c>
    </row>
    <row r="47" spans="1:8" x14ac:dyDescent="0.25">
      <c r="A47" s="67" t="s">
        <v>226</v>
      </c>
      <c r="B47">
        <v>9</v>
      </c>
      <c r="C47">
        <v>332692</v>
      </c>
      <c r="D47" s="68">
        <v>233998473.22999996</v>
      </c>
      <c r="E47">
        <v>0</v>
      </c>
      <c r="F47">
        <v>0</v>
      </c>
      <c r="G47" s="68">
        <v>235887413.97999996</v>
      </c>
      <c r="H47">
        <v>5.0865000000000009</v>
      </c>
    </row>
    <row r="48" spans="1:8" x14ac:dyDescent="0.25">
      <c r="A48" s="67" t="s">
        <v>225</v>
      </c>
      <c r="B48">
        <v>1</v>
      </c>
      <c r="C48">
        <v>26390</v>
      </c>
      <c r="D48" s="68">
        <v>1483372.86</v>
      </c>
      <c r="E48">
        <v>0</v>
      </c>
      <c r="F48">
        <v>0</v>
      </c>
      <c r="G48" s="68">
        <v>1499516.69</v>
      </c>
      <c r="H48">
        <v>0.63219999999999998</v>
      </c>
    </row>
    <row r="49" spans="1:8" x14ac:dyDescent="0.25">
      <c r="A49" s="66" t="s">
        <v>277</v>
      </c>
      <c r="B49">
        <v>3</v>
      </c>
      <c r="C49">
        <v>93294</v>
      </c>
      <c r="D49" s="68">
        <v>10213742.02</v>
      </c>
      <c r="E49">
        <v>0</v>
      </c>
      <c r="F49">
        <v>813700.00000000023</v>
      </c>
      <c r="G49" s="68">
        <v>9489891.1400000006</v>
      </c>
      <c r="H49">
        <v>0.55000000000000004</v>
      </c>
    </row>
    <row r="50" spans="1:8" x14ac:dyDescent="0.25">
      <c r="A50" s="67" t="s">
        <v>223</v>
      </c>
      <c r="B50">
        <v>1</v>
      </c>
      <c r="C50">
        <v>40505</v>
      </c>
      <c r="D50" s="68">
        <v>2311868.34</v>
      </c>
      <c r="E50">
        <v>0</v>
      </c>
      <c r="F50">
        <v>813700.00000000023</v>
      </c>
      <c r="G50" s="68">
        <v>1500000.74</v>
      </c>
      <c r="H50">
        <v>0.55000000000000004</v>
      </c>
    </row>
    <row r="51" spans="1:8" x14ac:dyDescent="0.25">
      <c r="A51" s="67" t="s">
        <v>228</v>
      </c>
      <c r="B51">
        <v>1</v>
      </c>
      <c r="C51">
        <v>26394</v>
      </c>
      <c r="D51" s="68">
        <v>1275411.82</v>
      </c>
      <c r="E51">
        <v>0</v>
      </c>
      <c r="F51">
        <v>0</v>
      </c>
      <c r="G51" s="68">
        <v>1289890.4099999999</v>
      </c>
    </row>
    <row r="52" spans="1:8" x14ac:dyDescent="0.25">
      <c r="A52" s="67" t="s">
        <v>256</v>
      </c>
      <c r="B52">
        <v>1</v>
      </c>
      <c r="C52">
        <v>26395</v>
      </c>
      <c r="D52" s="68">
        <v>6626461.8600000003</v>
      </c>
      <c r="E52">
        <v>0</v>
      </c>
      <c r="F52">
        <v>0</v>
      </c>
      <c r="G52" s="68">
        <v>6699999.9900000002</v>
      </c>
    </row>
    <row r="53" spans="1:8" x14ac:dyDescent="0.25">
      <c r="A53" s="59" t="s">
        <v>245</v>
      </c>
      <c r="B53">
        <v>70</v>
      </c>
      <c r="C53">
        <v>2704701</v>
      </c>
      <c r="D53" s="68">
        <v>1056537302.5100001</v>
      </c>
      <c r="E53">
        <v>158573405.09</v>
      </c>
      <c r="F53">
        <v>813700.00000000023</v>
      </c>
      <c r="G53" s="68">
        <v>908531777.67000008</v>
      </c>
      <c r="H53">
        <v>53.893000000000008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E123-4C13-4C63-9EA3-B8EDC7BF5074}">
  <sheetPr codeName="Hoja2"/>
  <dimension ref="D21:F22"/>
  <sheetViews>
    <sheetView topLeftCell="A4" workbookViewId="0">
      <selection activeCell="F22" sqref="F22"/>
    </sheetView>
  </sheetViews>
  <sheetFormatPr baseColWidth="10" defaultRowHeight="15" x14ac:dyDescent="0.25"/>
  <cols>
    <col min="5" max="5" width="14.42578125" bestFit="1" customWidth="1"/>
  </cols>
  <sheetData>
    <row r="21" spans="4:6" x14ac:dyDescent="0.25">
      <c r="D21" t="s">
        <v>0</v>
      </c>
      <c r="E21" t="s">
        <v>260</v>
      </c>
      <c r="F21" t="s">
        <v>261</v>
      </c>
    </row>
    <row r="22" spans="4:6" ht="90" x14ac:dyDescent="0.25">
      <c r="D22" s="64" t="s">
        <v>262</v>
      </c>
      <c r="E22" s="65">
        <v>453706171</v>
      </c>
      <c r="F22" s="65">
        <v>846487762.5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CD074-07EC-4522-844C-EA1E12E77BC8}">
  <sheetPr codeName="Hoja3" filterMode="1">
    <pageSetUpPr fitToPage="1"/>
  </sheetPr>
  <dimension ref="A1:W77"/>
  <sheetViews>
    <sheetView tabSelected="1" topLeftCell="A5" zoomScale="70" zoomScaleNormal="70" zoomScaleSheetLayoutView="85" workbookViewId="0">
      <selection activeCell="W39" sqref="W39"/>
    </sheetView>
  </sheetViews>
  <sheetFormatPr baseColWidth="10" defaultColWidth="11.42578125" defaultRowHeight="14.25" x14ac:dyDescent="0.2"/>
  <cols>
    <col min="1" max="1" width="4.7109375" style="10" customWidth="1"/>
    <col min="2" max="2" width="6.28515625" style="10" bestFit="1" customWidth="1"/>
    <col min="3" max="3" width="23.28515625" style="10" customWidth="1"/>
    <col min="4" max="5" width="11.42578125" style="10" customWidth="1"/>
    <col min="6" max="6" width="69.140625" style="8" customWidth="1"/>
    <col min="7" max="7" width="24.5703125" style="2" hidden="1" customWidth="1"/>
    <col min="8" max="8" width="23" style="8" customWidth="1"/>
    <col min="9" max="9" width="22.42578125" style="15" hidden="1" customWidth="1"/>
    <col min="10" max="10" width="18.28515625" style="15" hidden="1" customWidth="1"/>
    <col min="11" max="11" width="23.28515625" style="5" hidden="1" customWidth="1"/>
    <col min="12" max="12" width="33.85546875" style="5" hidden="1" customWidth="1"/>
    <col min="13" max="13" width="23.28515625" style="5" hidden="1" customWidth="1"/>
    <col min="14" max="14" width="26.28515625" style="5" bestFit="1" customWidth="1"/>
    <col min="15" max="16" width="24" style="5" bestFit="1" customWidth="1"/>
    <col min="17" max="19" width="17" style="10" customWidth="1"/>
    <col min="20" max="20" width="17.28515625" style="5" customWidth="1"/>
    <col min="21" max="21" width="17" style="10" customWidth="1"/>
    <col min="22" max="22" width="26.7109375" style="5" customWidth="1"/>
    <col min="23" max="23" width="39" style="5" customWidth="1"/>
    <col min="24" max="16384" width="11.42578125" style="5"/>
  </cols>
  <sheetData>
    <row r="1" spans="1:23" x14ac:dyDescent="0.2">
      <c r="A1" s="9"/>
      <c r="B1" s="9"/>
      <c r="C1" s="9"/>
      <c r="D1" s="9"/>
      <c r="E1" s="9"/>
      <c r="F1" s="1"/>
      <c r="H1" s="3"/>
      <c r="I1" s="14"/>
      <c r="J1" s="14"/>
      <c r="K1" s="4"/>
      <c r="L1" s="4"/>
      <c r="M1" s="4"/>
      <c r="N1" s="4"/>
      <c r="O1" s="4"/>
      <c r="P1" s="4"/>
      <c r="Q1" s="9"/>
      <c r="R1" s="9"/>
      <c r="S1" s="9"/>
      <c r="U1" s="9"/>
    </row>
    <row r="2" spans="1:23" x14ac:dyDescent="0.2">
      <c r="A2" s="9"/>
      <c r="B2" s="9"/>
      <c r="C2" s="9"/>
      <c r="D2" s="38">
        <v>2024</v>
      </c>
      <c r="E2" s="38"/>
      <c r="F2" s="1"/>
      <c r="H2" s="3"/>
      <c r="I2" s="14"/>
      <c r="J2" s="14"/>
      <c r="K2" s="4"/>
      <c r="L2" s="4"/>
      <c r="M2" s="4"/>
      <c r="N2" s="4"/>
      <c r="O2" s="4"/>
      <c r="P2" s="4"/>
      <c r="Q2" s="9"/>
      <c r="R2" s="9"/>
      <c r="S2" s="9"/>
      <c r="U2" s="9"/>
    </row>
    <row r="3" spans="1:23" x14ac:dyDescent="0.2">
      <c r="A3" s="9"/>
      <c r="B3" s="9"/>
      <c r="C3" s="9"/>
      <c r="D3" s="39">
        <v>2025</v>
      </c>
      <c r="E3" s="39"/>
      <c r="F3" s="1"/>
      <c r="H3" s="3"/>
      <c r="I3" s="14"/>
      <c r="J3" s="14"/>
      <c r="K3" s="4"/>
      <c r="L3" s="4"/>
      <c r="M3" s="4"/>
      <c r="N3" s="4"/>
      <c r="O3" s="4"/>
      <c r="P3" s="4"/>
      <c r="Q3" s="9"/>
      <c r="R3" s="9"/>
      <c r="S3" s="9"/>
      <c r="U3" s="9"/>
    </row>
    <row r="4" spans="1:23" ht="15" x14ac:dyDescent="0.2">
      <c r="A4" s="9"/>
      <c r="B4" s="9"/>
      <c r="C4" s="9"/>
      <c r="D4" s="9"/>
      <c r="E4" s="9"/>
      <c r="F4" s="1"/>
      <c r="H4" s="3"/>
      <c r="I4" s="14"/>
      <c r="J4" s="14"/>
      <c r="K4" s="4"/>
      <c r="L4" s="4"/>
      <c r="M4" s="4"/>
      <c r="N4" s="4"/>
      <c r="O4" s="4"/>
      <c r="P4" s="4"/>
      <c r="Q4" s="12" t="s">
        <v>217</v>
      </c>
      <c r="R4" s="12"/>
      <c r="S4" s="12"/>
      <c r="U4" s="12"/>
    </row>
    <row r="5" spans="1:23" ht="48.75" customHeight="1" x14ac:dyDescent="0.2">
      <c r="H5" s="2"/>
      <c r="I5" s="46" t="s">
        <v>64</v>
      </c>
      <c r="J5" s="44"/>
      <c r="K5" s="45"/>
    </row>
    <row r="6" spans="1:23" ht="30.75" thickBot="1" x14ac:dyDescent="0.25">
      <c r="A6" s="6" t="s">
        <v>243</v>
      </c>
      <c r="B6" s="44" t="s">
        <v>239</v>
      </c>
      <c r="C6" s="44" t="s">
        <v>238</v>
      </c>
      <c r="D6" s="44" t="s">
        <v>62</v>
      </c>
      <c r="E6" s="44" t="s">
        <v>257</v>
      </c>
      <c r="F6" s="44" t="s">
        <v>46</v>
      </c>
      <c r="G6" s="44" t="s">
        <v>1</v>
      </c>
      <c r="H6" s="44" t="s">
        <v>2</v>
      </c>
      <c r="I6" s="6" t="s">
        <v>159</v>
      </c>
      <c r="J6" s="6" t="s">
        <v>158</v>
      </c>
      <c r="K6" s="6" t="s">
        <v>50</v>
      </c>
      <c r="L6" s="46" t="s">
        <v>51</v>
      </c>
      <c r="M6" s="44" t="s">
        <v>143</v>
      </c>
      <c r="N6" s="44" t="s">
        <v>77</v>
      </c>
      <c r="O6" s="44" t="s">
        <v>3</v>
      </c>
      <c r="P6" s="44" t="s">
        <v>48</v>
      </c>
      <c r="Q6" s="44" t="s">
        <v>47</v>
      </c>
      <c r="R6" s="44" t="s">
        <v>236</v>
      </c>
      <c r="S6" s="44" t="s">
        <v>237</v>
      </c>
      <c r="T6" s="44" t="s">
        <v>63</v>
      </c>
      <c r="U6" s="44" t="s">
        <v>168</v>
      </c>
      <c r="V6" s="44" t="s">
        <v>266</v>
      </c>
      <c r="W6" s="44" t="s">
        <v>288</v>
      </c>
    </row>
    <row r="7" spans="1:23" ht="105.75" hidden="1" thickBot="1" x14ac:dyDescent="0.25">
      <c r="A7" s="7" t="e">
        <f>A6+1</f>
        <v>#VALUE!</v>
      </c>
      <c r="B7" s="7">
        <v>2024</v>
      </c>
      <c r="C7" s="7" t="s">
        <v>223</v>
      </c>
      <c r="D7" s="18">
        <v>70193</v>
      </c>
      <c r="E7" s="18"/>
      <c r="F7" s="19" t="s">
        <v>37</v>
      </c>
      <c r="G7" s="20" t="s">
        <v>38</v>
      </c>
      <c r="H7" s="17" t="s">
        <v>39</v>
      </c>
      <c r="I7" s="21">
        <v>1263776.6499999999</v>
      </c>
      <c r="J7" s="21"/>
      <c r="K7" s="21">
        <v>0</v>
      </c>
      <c r="L7" s="26">
        <v>1257754.78</v>
      </c>
      <c r="M7" s="26">
        <v>0</v>
      </c>
      <c r="N7" s="26">
        <f t="shared" ref="N7:N42" si="0">+L7+M7</f>
        <v>1257754.78</v>
      </c>
      <c r="O7" s="49">
        <v>1257754.78</v>
      </c>
      <c r="P7" s="49">
        <f t="shared" ref="P7:P42" si="1">+N7-O7</f>
        <v>0</v>
      </c>
      <c r="Q7" s="50">
        <f t="shared" ref="Q7:Q17" si="2">+O7/N7</f>
        <v>1</v>
      </c>
      <c r="R7" s="51"/>
      <c r="S7" s="51"/>
      <c r="T7" s="17" t="s">
        <v>60</v>
      </c>
      <c r="U7" s="50">
        <v>1</v>
      </c>
      <c r="V7" s="50" t="s">
        <v>268</v>
      </c>
    </row>
    <row r="8" spans="1:23" ht="75.75" hidden="1" thickBot="1" x14ac:dyDescent="0.25">
      <c r="A8" s="7" t="e">
        <f>A7+1</f>
        <v>#VALUE!</v>
      </c>
      <c r="B8" s="7">
        <v>2024</v>
      </c>
      <c r="C8" s="7" t="s">
        <v>226</v>
      </c>
      <c r="D8" s="18">
        <v>70195</v>
      </c>
      <c r="E8" s="18"/>
      <c r="F8" s="19" t="s">
        <v>40</v>
      </c>
      <c r="G8" s="20" t="s">
        <v>41</v>
      </c>
      <c r="H8" s="17" t="s">
        <v>39</v>
      </c>
      <c r="I8" s="21">
        <v>16700143.5</v>
      </c>
      <c r="J8" s="21"/>
      <c r="K8" s="21">
        <v>0</v>
      </c>
      <c r="L8" s="26">
        <v>16550113.58</v>
      </c>
      <c r="M8" s="26">
        <v>150029.92000000001</v>
      </c>
      <c r="N8" s="26">
        <f t="shared" si="0"/>
        <v>16700143.5</v>
      </c>
      <c r="O8" s="49">
        <v>16700143.5</v>
      </c>
      <c r="P8" s="49">
        <f t="shared" si="1"/>
        <v>0</v>
      </c>
      <c r="Q8" s="50">
        <f t="shared" si="2"/>
        <v>1</v>
      </c>
      <c r="R8" s="51">
        <v>2160</v>
      </c>
      <c r="S8" s="51" t="s">
        <v>240</v>
      </c>
      <c r="T8" s="17" t="s">
        <v>60</v>
      </c>
      <c r="U8" s="50">
        <v>1</v>
      </c>
      <c r="V8" s="50" t="s">
        <v>268</v>
      </c>
    </row>
    <row r="9" spans="1:23" ht="75.75" hidden="1" thickBot="1" x14ac:dyDescent="0.25">
      <c r="A9" s="7" t="e">
        <f>A8+1</f>
        <v>#VALUE!</v>
      </c>
      <c r="B9" s="7">
        <v>2024</v>
      </c>
      <c r="C9" s="7" t="s">
        <v>226</v>
      </c>
      <c r="D9" s="18">
        <v>70196</v>
      </c>
      <c r="E9" s="18"/>
      <c r="F9" s="19" t="s">
        <v>42</v>
      </c>
      <c r="G9" s="20" t="s">
        <v>43</v>
      </c>
      <c r="H9" s="17" t="s">
        <v>39</v>
      </c>
      <c r="I9" s="21">
        <v>2267790.89</v>
      </c>
      <c r="J9" s="21"/>
      <c r="K9" s="21">
        <v>0</v>
      </c>
      <c r="L9" s="26">
        <v>2233042.46</v>
      </c>
      <c r="M9" s="26">
        <v>0</v>
      </c>
      <c r="N9" s="26">
        <f t="shared" si="0"/>
        <v>2233042.46</v>
      </c>
      <c r="O9" s="49">
        <v>2233042.46</v>
      </c>
      <c r="P9" s="49">
        <f t="shared" si="1"/>
        <v>0</v>
      </c>
      <c r="Q9" s="50">
        <f t="shared" si="2"/>
        <v>1</v>
      </c>
      <c r="R9" s="51">
        <v>2520</v>
      </c>
      <c r="S9" s="51" t="s">
        <v>240</v>
      </c>
      <c r="T9" s="17" t="s">
        <v>60</v>
      </c>
      <c r="U9" s="50">
        <v>1</v>
      </c>
      <c r="V9" s="50" t="s">
        <v>268</v>
      </c>
    </row>
    <row r="10" spans="1:23" ht="75.75" hidden="1" thickBot="1" x14ac:dyDescent="0.25">
      <c r="A10" s="7" t="e">
        <f>A9+1</f>
        <v>#VALUE!</v>
      </c>
      <c r="B10" s="7">
        <v>2024</v>
      </c>
      <c r="C10" s="7" t="s">
        <v>226</v>
      </c>
      <c r="D10" s="18">
        <v>70197</v>
      </c>
      <c r="E10" s="18"/>
      <c r="F10" s="19" t="s">
        <v>44</v>
      </c>
      <c r="G10" s="20" t="s">
        <v>45</v>
      </c>
      <c r="H10" s="17" t="s">
        <v>39</v>
      </c>
      <c r="I10" s="21">
        <v>26898299.989999998</v>
      </c>
      <c r="J10" s="21"/>
      <c r="K10" s="21">
        <v>0</v>
      </c>
      <c r="L10" s="26">
        <v>26683508.129999999</v>
      </c>
      <c r="M10" s="26">
        <v>214791.86</v>
      </c>
      <c r="N10" s="26">
        <f t="shared" si="0"/>
        <v>26898299.989999998</v>
      </c>
      <c r="O10" s="49">
        <v>26898299.989999998</v>
      </c>
      <c r="P10" s="49">
        <f t="shared" si="1"/>
        <v>0</v>
      </c>
      <c r="Q10" s="50">
        <f t="shared" si="2"/>
        <v>1</v>
      </c>
      <c r="R10" s="51">
        <v>20384</v>
      </c>
      <c r="S10" s="51" t="s">
        <v>240</v>
      </c>
      <c r="T10" s="17" t="s">
        <v>60</v>
      </c>
      <c r="U10" s="50">
        <v>1</v>
      </c>
      <c r="V10" s="50" t="s">
        <v>268</v>
      </c>
    </row>
    <row r="11" spans="1:23" ht="75.75" thickBot="1" x14ac:dyDescent="0.25">
      <c r="A11" s="7" t="e">
        <f>+A10+1</f>
        <v>#VALUE!</v>
      </c>
      <c r="B11" s="7">
        <v>2024</v>
      </c>
      <c r="C11" s="7" t="s">
        <v>233</v>
      </c>
      <c r="D11" s="18">
        <v>40496</v>
      </c>
      <c r="E11" s="18"/>
      <c r="F11" s="19" t="s">
        <v>23</v>
      </c>
      <c r="G11" s="20" t="s">
        <v>24</v>
      </c>
      <c r="H11" s="17" t="s">
        <v>25</v>
      </c>
      <c r="I11" s="21">
        <v>12404044.359999999</v>
      </c>
      <c r="J11" s="21"/>
      <c r="K11" s="21">
        <v>12404044.369999999</v>
      </c>
      <c r="L11" s="26">
        <v>24559296.030000001</v>
      </c>
      <c r="M11" s="26">
        <v>0</v>
      </c>
      <c r="N11" s="26">
        <f t="shared" si="0"/>
        <v>24559296.030000001</v>
      </c>
      <c r="O11" s="55">
        <v>24559296.030000001</v>
      </c>
      <c r="P11" s="49">
        <f t="shared" si="1"/>
        <v>0</v>
      </c>
      <c r="Q11" s="50">
        <f t="shared" si="2"/>
        <v>1</v>
      </c>
      <c r="R11" s="51">
        <v>13200</v>
      </c>
      <c r="S11" s="51" t="s">
        <v>240</v>
      </c>
      <c r="T11" s="17" t="s">
        <v>53</v>
      </c>
      <c r="U11" s="50">
        <v>1</v>
      </c>
      <c r="V11" s="50" t="s">
        <v>287</v>
      </c>
      <c r="W11" s="75">
        <v>22</v>
      </c>
    </row>
    <row r="12" spans="1:23" ht="60.75" hidden="1" thickBot="1" x14ac:dyDescent="0.25">
      <c r="A12" s="7" t="e">
        <f t="shared" ref="A12:A18" si="3">A11+1</f>
        <v>#VALUE!</v>
      </c>
      <c r="B12" s="7">
        <v>2024</v>
      </c>
      <c r="C12" s="7" t="s">
        <v>226</v>
      </c>
      <c r="D12" s="18">
        <v>40497</v>
      </c>
      <c r="E12" s="18"/>
      <c r="F12" s="19" t="s">
        <v>26</v>
      </c>
      <c r="G12" s="20" t="s">
        <v>27</v>
      </c>
      <c r="H12" s="17" t="s">
        <v>25</v>
      </c>
      <c r="I12" s="21">
        <v>17382467.050000001</v>
      </c>
      <c r="J12" s="21"/>
      <c r="K12" s="21">
        <v>6000000</v>
      </c>
      <c r="L12" s="56">
        <v>23067954</v>
      </c>
      <c r="M12" s="26">
        <v>0</v>
      </c>
      <c r="N12" s="26">
        <f t="shared" si="0"/>
        <v>23067954</v>
      </c>
      <c r="O12" s="55">
        <v>23067954</v>
      </c>
      <c r="P12" s="49">
        <f t="shared" si="1"/>
        <v>0</v>
      </c>
      <c r="Q12" s="50">
        <f t="shared" si="2"/>
        <v>1</v>
      </c>
      <c r="R12" s="51">
        <v>12616</v>
      </c>
      <c r="S12" s="51" t="s">
        <v>240</v>
      </c>
      <c r="T12" s="17" t="s">
        <v>54</v>
      </c>
      <c r="U12" s="50">
        <v>1</v>
      </c>
      <c r="V12" s="50" t="s">
        <v>284</v>
      </c>
    </row>
    <row r="13" spans="1:23" ht="75.75" hidden="1" thickBot="1" x14ac:dyDescent="0.25">
      <c r="A13" s="7" t="e">
        <f t="shared" si="3"/>
        <v>#VALUE!</v>
      </c>
      <c r="B13" s="7">
        <v>2024</v>
      </c>
      <c r="C13" s="7" t="s">
        <v>226</v>
      </c>
      <c r="D13" s="18">
        <v>40498</v>
      </c>
      <c r="E13" s="18"/>
      <c r="F13" s="19" t="s">
        <v>28</v>
      </c>
      <c r="G13" s="20" t="s">
        <v>29</v>
      </c>
      <c r="H13" s="17" t="s">
        <v>49</v>
      </c>
      <c r="I13" s="21">
        <v>5341210.49</v>
      </c>
      <c r="J13" s="21"/>
      <c r="K13" s="21">
        <v>1500000</v>
      </c>
      <c r="L13" s="26">
        <v>6772483.3799999999</v>
      </c>
      <c r="M13" s="26">
        <v>68727.11</v>
      </c>
      <c r="N13" s="26">
        <f t="shared" si="0"/>
        <v>6841210.4900000002</v>
      </c>
      <c r="O13" s="49">
        <v>5555142.9299999997</v>
      </c>
      <c r="P13" s="49">
        <f t="shared" si="1"/>
        <v>1286067.5600000005</v>
      </c>
      <c r="Q13" s="50">
        <f t="shared" si="2"/>
        <v>0.81201169560856468</v>
      </c>
      <c r="R13" s="51">
        <v>8835</v>
      </c>
      <c r="S13" s="51" t="s">
        <v>240</v>
      </c>
      <c r="T13" s="17" t="s">
        <v>55</v>
      </c>
      <c r="U13" s="50">
        <v>1</v>
      </c>
      <c r="V13" s="50" t="s">
        <v>268</v>
      </c>
    </row>
    <row r="14" spans="1:23" ht="75.75" hidden="1" thickBot="1" x14ac:dyDescent="0.25">
      <c r="A14" s="7" t="e">
        <f t="shared" si="3"/>
        <v>#VALUE!</v>
      </c>
      <c r="B14" s="7">
        <v>2024</v>
      </c>
      <c r="C14" s="7" t="s">
        <v>226</v>
      </c>
      <c r="D14" s="18">
        <v>40499</v>
      </c>
      <c r="E14" s="18"/>
      <c r="F14" s="19" t="s">
        <v>30</v>
      </c>
      <c r="G14" s="20" t="s">
        <v>31</v>
      </c>
      <c r="H14" s="17" t="s">
        <v>49</v>
      </c>
      <c r="I14" s="21">
        <v>5860370.5099999998</v>
      </c>
      <c r="J14" s="21"/>
      <c r="K14" s="21">
        <v>1000000</v>
      </c>
      <c r="L14" s="26">
        <v>6704816.9199999999</v>
      </c>
      <c r="M14" s="26">
        <v>155553.59</v>
      </c>
      <c r="N14" s="26">
        <f t="shared" si="0"/>
        <v>6860370.5099999998</v>
      </c>
      <c r="O14" s="49">
        <v>6854746.4800000004</v>
      </c>
      <c r="P14" s="49">
        <f t="shared" si="1"/>
        <v>5624.0299999993294</v>
      </c>
      <c r="Q14" s="50">
        <f t="shared" si="2"/>
        <v>0.9991802148307003</v>
      </c>
      <c r="R14" s="51">
        <v>8835</v>
      </c>
      <c r="S14" s="51" t="s">
        <v>240</v>
      </c>
      <c r="T14" s="17" t="s">
        <v>56</v>
      </c>
      <c r="U14" s="50">
        <v>1</v>
      </c>
      <c r="V14" s="50" t="s">
        <v>268</v>
      </c>
    </row>
    <row r="15" spans="1:23" ht="135.75" hidden="1" thickBot="1" x14ac:dyDescent="0.25">
      <c r="A15" s="7" t="e">
        <f t="shared" si="3"/>
        <v>#VALUE!</v>
      </c>
      <c r="B15" s="7">
        <v>2024</v>
      </c>
      <c r="C15" s="7" t="s">
        <v>226</v>
      </c>
      <c r="D15" s="18">
        <v>40500</v>
      </c>
      <c r="E15" s="18"/>
      <c r="F15" s="19" t="s">
        <v>32</v>
      </c>
      <c r="G15" s="20" t="s">
        <v>29</v>
      </c>
      <c r="H15" s="17" t="s">
        <v>49</v>
      </c>
      <c r="I15" s="21">
        <v>6075733.8799999999</v>
      </c>
      <c r="J15" s="21"/>
      <c r="K15" s="21">
        <v>1500000</v>
      </c>
      <c r="L15" s="26">
        <v>7498306.7800000003</v>
      </c>
      <c r="M15" s="26">
        <v>77427.100000000006</v>
      </c>
      <c r="N15" s="26">
        <f t="shared" si="0"/>
        <v>7575733.8799999999</v>
      </c>
      <c r="O15" s="49">
        <v>7575733.8799999999</v>
      </c>
      <c r="P15" s="49">
        <f t="shared" si="1"/>
        <v>0</v>
      </c>
      <c r="Q15" s="50">
        <f t="shared" si="2"/>
        <v>1</v>
      </c>
      <c r="R15" s="51">
        <v>16045</v>
      </c>
      <c r="S15" s="51" t="s">
        <v>240</v>
      </c>
      <c r="T15" s="17" t="s">
        <v>57</v>
      </c>
      <c r="U15" s="50">
        <v>1</v>
      </c>
      <c r="V15" s="50" t="s">
        <v>268</v>
      </c>
    </row>
    <row r="16" spans="1:23" ht="60.75" hidden="1" thickBot="1" x14ac:dyDescent="0.25">
      <c r="A16" s="7" t="e">
        <f t="shared" si="3"/>
        <v>#VALUE!</v>
      </c>
      <c r="B16" s="7">
        <v>2024</v>
      </c>
      <c r="C16" s="7" t="s">
        <v>218</v>
      </c>
      <c r="D16" s="18">
        <v>40501</v>
      </c>
      <c r="E16" s="18"/>
      <c r="F16" s="19" t="s">
        <v>33</v>
      </c>
      <c r="G16" s="20" t="s">
        <v>34</v>
      </c>
      <c r="H16" s="17" t="s">
        <v>49</v>
      </c>
      <c r="I16" s="21">
        <v>3999954.99</v>
      </c>
      <c r="J16" s="21"/>
      <c r="K16" s="21">
        <v>6000000</v>
      </c>
      <c r="L16" s="26">
        <v>9849963.1799999997</v>
      </c>
      <c r="M16" s="26">
        <v>125660.07</v>
      </c>
      <c r="N16" s="26">
        <f t="shared" si="0"/>
        <v>9975623.25</v>
      </c>
      <c r="O16" s="49">
        <v>9975623.25</v>
      </c>
      <c r="P16" s="49">
        <f t="shared" si="1"/>
        <v>0</v>
      </c>
      <c r="Q16" s="50">
        <f t="shared" si="2"/>
        <v>1</v>
      </c>
      <c r="R16" s="51"/>
      <c r="S16" s="51"/>
      <c r="T16" s="17" t="s">
        <v>58</v>
      </c>
      <c r="U16" s="50">
        <v>1</v>
      </c>
      <c r="V16" s="50" t="s">
        <v>268</v>
      </c>
    </row>
    <row r="17" spans="1:22" ht="105.75" hidden="1" thickBot="1" x14ac:dyDescent="0.25">
      <c r="A17" s="7" t="e">
        <f t="shared" si="3"/>
        <v>#VALUE!</v>
      </c>
      <c r="B17" s="7">
        <v>2024</v>
      </c>
      <c r="C17" s="7" t="s">
        <v>234</v>
      </c>
      <c r="D17" s="18">
        <v>40502</v>
      </c>
      <c r="E17" s="18"/>
      <c r="F17" s="19" t="s">
        <v>35</v>
      </c>
      <c r="G17" s="20" t="s">
        <v>36</v>
      </c>
      <c r="H17" s="17" t="s">
        <v>49</v>
      </c>
      <c r="I17" s="21">
        <v>60379612.780000001</v>
      </c>
      <c r="J17" s="21"/>
      <c r="K17" s="21">
        <v>20000000</v>
      </c>
      <c r="L17" s="26">
        <v>78772059.00999999</v>
      </c>
      <c r="M17" s="26">
        <v>0</v>
      </c>
      <c r="N17" s="26">
        <f t="shared" si="0"/>
        <v>78772059.00999999</v>
      </c>
      <c r="O17" s="49">
        <v>71503808.420000002</v>
      </c>
      <c r="P17" s="49">
        <f t="shared" si="1"/>
        <v>7268250.5899999887</v>
      </c>
      <c r="Q17" s="50">
        <f t="shared" si="2"/>
        <v>0.9077306004013771</v>
      </c>
      <c r="R17" s="51"/>
      <c r="S17" s="51"/>
      <c r="T17" s="17" t="s">
        <v>59</v>
      </c>
      <c r="U17" s="50">
        <v>1</v>
      </c>
      <c r="V17" s="50" t="s">
        <v>285</v>
      </c>
    </row>
    <row r="18" spans="1:22" ht="135.75" hidden="1" thickBot="1" x14ac:dyDescent="0.25">
      <c r="A18" s="7" t="e">
        <f t="shared" si="3"/>
        <v>#VALUE!</v>
      </c>
      <c r="B18" s="7">
        <v>2024</v>
      </c>
      <c r="C18" s="7" t="s">
        <v>229</v>
      </c>
      <c r="D18" s="18">
        <v>31039</v>
      </c>
      <c r="E18" s="18"/>
      <c r="F18" s="19" t="s">
        <v>13</v>
      </c>
      <c r="G18" s="20" t="s">
        <v>14</v>
      </c>
      <c r="H18" s="17" t="s">
        <v>255</v>
      </c>
      <c r="I18" s="48">
        <v>0</v>
      </c>
      <c r="J18" s="48">
        <v>0</v>
      </c>
      <c r="K18" s="21">
        <v>3272891.28</v>
      </c>
      <c r="L18" s="26">
        <v>2749979.9</v>
      </c>
      <c r="M18" s="26">
        <v>522911.38</v>
      </c>
      <c r="N18" s="26">
        <f t="shared" si="0"/>
        <v>3272891.28</v>
      </c>
      <c r="O18" s="49">
        <v>3272891.28</v>
      </c>
      <c r="P18" s="49">
        <f t="shared" si="1"/>
        <v>0</v>
      </c>
      <c r="Q18" s="50">
        <f t="shared" ref="Q18:Q26" si="4">+O18/(K18+I18)</f>
        <v>1</v>
      </c>
      <c r="R18" s="51">
        <v>1957</v>
      </c>
      <c r="S18" s="51" t="s">
        <v>240</v>
      </c>
      <c r="T18" s="17" t="s">
        <v>52</v>
      </c>
      <c r="U18" s="50">
        <v>1</v>
      </c>
      <c r="V18" s="50" t="s">
        <v>272</v>
      </c>
    </row>
    <row r="19" spans="1:22" ht="105.75" hidden="1" thickBot="1" x14ac:dyDescent="0.25">
      <c r="A19" s="7" t="e">
        <f>A16+1</f>
        <v>#VALUE!</v>
      </c>
      <c r="B19" s="7">
        <v>2024</v>
      </c>
      <c r="C19" s="7" t="s">
        <v>229</v>
      </c>
      <c r="D19" s="18">
        <v>31036</v>
      </c>
      <c r="E19" s="18"/>
      <c r="F19" s="19" t="s">
        <v>7</v>
      </c>
      <c r="G19" s="20" t="s">
        <v>8</v>
      </c>
      <c r="H19" s="17" t="s">
        <v>246</v>
      </c>
      <c r="I19" s="48">
        <v>0</v>
      </c>
      <c r="J19" s="48">
        <v>0</v>
      </c>
      <c r="K19" s="21">
        <v>2982055.1300000004</v>
      </c>
      <c r="L19" s="26">
        <v>2635042.4300000002</v>
      </c>
      <c r="M19" s="26">
        <v>347012.7</v>
      </c>
      <c r="N19" s="26">
        <f t="shared" si="0"/>
        <v>2982055.1300000004</v>
      </c>
      <c r="O19" s="49">
        <v>2982055.13</v>
      </c>
      <c r="P19" s="49">
        <f t="shared" si="1"/>
        <v>0</v>
      </c>
      <c r="Q19" s="50">
        <f t="shared" si="4"/>
        <v>0.99999999999999989</v>
      </c>
      <c r="R19" s="51">
        <v>1778</v>
      </c>
      <c r="S19" s="51" t="s">
        <v>240</v>
      </c>
      <c r="T19" s="17" t="s">
        <v>52</v>
      </c>
      <c r="U19" s="50">
        <v>1</v>
      </c>
      <c r="V19" s="50" t="s">
        <v>268</v>
      </c>
    </row>
    <row r="20" spans="1:22" ht="150.75" hidden="1" thickBot="1" x14ac:dyDescent="0.25">
      <c r="A20" s="7" t="e">
        <f t="shared" ref="A20:A46" si="5">A19+1</f>
        <v>#VALUE!</v>
      </c>
      <c r="B20" s="7">
        <v>2024</v>
      </c>
      <c r="C20" s="7" t="s">
        <v>229</v>
      </c>
      <c r="D20" s="18">
        <v>31037</v>
      </c>
      <c r="E20" s="18"/>
      <c r="F20" s="19" t="s">
        <v>9</v>
      </c>
      <c r="G20" s="20" t="s">
        <v>10</v>
      </c>
      <c r="H20" s="17" t="s">
        <v>246</v>
      </c>
      <c r="I20" s="48">
        <v>0</v>
      </c>
      <c r="J20" s="48">
        <v>0</v>
      </c>
      <c r="K20" s="21">
        <v>5446952.1799999997</v>
      </c>
      <c r="L20" s="26">
        <v>5446952.1799999997</v>
      </c>
      <c r="M20" s="26">
        <v>0</v>
      </c>
      <c r="N20" s="26">
        <f t="shared" si="0"/>
        <v>5446952.1799999997</v>
      </c>
      <c r="O20" s="49">
        <v>5446952.1799999997</v>
      </c>
      <c r="P20" s="49">
        <f t="shared" si="1"/>
        <v>0</v>
      </c>
      <c r="Q20" s="50">
        <f t="shared" si="4"/>
        <v>1</v>
      </c>
      <c r="R20" s="51">
        <v>2450</v>
      </c>
      <c r="S20" s="51" t="s">
        <v>240</v>
      </c>
      <c r="T20" s="17" t="s">
        <v>52</v>
      </c>
      <c r="U20" s="50">
        <v>1</v>
      </c>
      <c r="V20" s="50" t="s">
        <v>285</v>
      </c>
    </row>
    <row r="21" spans="1:22" ht="105.75" hidden="1" thickBot="1" x14ac:dyDescent="0.25">
      <c r="A21" s="7" t="e">
        <f t="shared" si="5"/>
        <v>#VALUE!</v>
      </c>
      <c r="B21" s="7">
        <v>2024</v>
      </c>
      <c r="C21" s="7" t="s">
        <v>229</v>
      </c>
      <c r="D21" s="18">
        <v>31038</v>
      </c>
      <c r="E21" s="18"/>
      <c r="F21" s="19" t="s">
        <v>11</v>
      </c>
      <c r="G21" s="20" t="s">
        <v>12</v>
      </c>
      <c r="H21" s="17" t="s">
        <v>246</v>
      </c>
      <c r="I21" s="48">
        <v>0</v>
      </c>
      <c r="J21" s="48">
        <v>0</v>
      </c>
      <c r="K21" s="21">
        <v>2513381.29</v>
      </c>
      <c r="L21" s="26">
        <v>2513381.29</v>
      </c>
      <c r="M21" s="26">
        <v>0</v>
      </c>
      <c r="N21" s="26">
        <f t="shared" si="0"/>
        <v>2513381.29</v>
      </c>
      <c r="O21" s="49">
        <v>2513381.29</v>
      </c>
      <c r="P21" s="49">
        <f t="shared" si="1"/>
        <v>0</v>
      </c>
      <c r="Q21" s="50">
        <f t="shared" si="4"/>
        <v>1</v>
      </c>
      <c r="R21" s="51">
        <v>1152</v>
      </c>
      <c r="S21" s="51" t="s">
        <v>240</v>
      </c>
      <c r="T21" s="17" t="s">
        <v>52</v>
      </c>
      <c r="U21" s="50">
        <v>1</v>
      </c>
      <c r="V21" s="50" t="s">
        <v>268</v>
      </c>
    </row>
    <row r="22" spans="1:22" ht="120.75" hidden="1" thickBot="1" x14ac:dyDescent="0.25">
      <c r="A22" s="7" t="e">
        <f t="shared" si="5"/>
        <v>#VALUE!</v>
      </c>
      <c r="B22" s="7">
        <v>2024</v>
      </c>
      <c r="C22" s="7" t="s">
        <v>229</v>
      </c>
      <c r="D22" s="18">
        <v>31040</v>
      </c>
      <c r="E22" s="18"/>
      <c r="F22" s="19" t="s">
        <v>15</v>
      </c>
      <c r="G22" s="20" t="s">
        <v>14</v>
      </c>
      <c r="H22" s="17" t="s">
        <v>246</v>
      </c>
      <c r="I22" s="48">
        <v>0</v>
      </c>
      <c r="J22" s="48">
        <v>0</v>
      </c>
      <c r="K22" s="21">
        <v>7693807.8200000003</v>
      </c>
      <c r="L22" s="26">
        <v>7693807.8200000003</v>
      </c>
      <c r="M22" s="26">
        <v>0</v>
      </c>
      <c r="N22" s="26">
        <f t="shared" si="0"/>
        <v>7693807.8200000003</v>
      </c>
      <c r="O22" s="49">
        <v>7693807.8200000003</v>
      </c>
      <c r="P22" s="49">
        <f t="shared" si="1"/>
        <v>0</v>
      </c>
      <c r="Q22" s="50">
        <f t="shared" si="4"/>
        <v>1</v>
      </c>
      <c r="R22" s="51">
        <v>4593</v>
      </c>
      <c r="S22" s="51" t="s">
        <v>240</v>
      </c>
      <c r="T22" s="17" t="s">
        <v>52</v>
      </c>
      <c r="U22" s="50">
        <v>1</v>
      </c>
      <c r="V22" s="50" t="s">
        <v>270</v>
      </c>
    </row>
    <row r="23" spans="1:22" ht="135.75" hidden="1" thickBot="1" x14ac:dyDescent="0.25">
      <c r="A23" s="7" t="e">
        <f t="shared" si="5"/>
        <v>#VALUE!</v>
      </c>
      <c r="B23" s="7">
        <v>2024</v>
      </c>
      <c r="C23" s="7" t="s">
        <v>229</v>
      </c>
      <c r="D23" s="18">
        <v>31041</v>
      </c>
      <c r="E23" s="18"/>
      <c r="F23" s="19" t="s">
        <v>16</v>
      </c>
      <c r="G23" s="20" t="s">
        <v>10</v>
      </c>
      <c r="H23" s="17" t="s">
        <v>246</v>
      </c>
      <c r="I23" s="48">
        <v>0</v>
      </c>
      <c r="J23" s="48">
        <v>0</v>
      </c>
      <c r="K23" s="21">
        <v>4741133.09</v>
      </c>
      <c r="L23" s="26">
        <v>4741133.09</v>
      </c>
      <c r="M23" s="26">
        <v>0</v>
      </c>
      <c r="N23" s="26">
        <f t="shared" si="0"/>
        <v>4741133.09</v>
      </c>
      <c r="O23" s="49">
        <v>4741133.09</v>
      </c>
      <c r="P23" s="49">
        <f t="shared" si="1"/>
        <v>0</v>
      </c>
      <c r="Q23" s="50">
        <f t="shared" si="4"/>
        <v>1</v>
      </c>
      <c r="R23" s="51">
        <v>3163</v>
      </c>
      <c r="S23" s="51" t="s">
        <v>240</v>
      </c>
      <c r="T23" s="17" t="s">
        <v>52</v>
      </c>
      <c r="U23" s="50">
        <v>1</v>
      </c>
      <c r="V23" s="50" t="s">
        <v>272</v>
      </c>
    </row>
    <row r="24" spans="1:22" ht="180.75" hidden="1" thickBot="1" x14ac:dyDescent="0.25">
      <c r="A24" s="7" t="e">
        <f t="shared" si="5"/>
        <v>#VALUE!</v>
      </c>
      <c r="B24" s="7">
        <v>2024</v>
      </c>
      <c r="C24" s="7" t="s">
        <v>230</v>
      </c>
      <c r="D24" s="18">
        <v>31042</v>
      </c>
      <c r="E24" s="18"/>
      <c r="F24" s="19" t="s">
        <v>17</v>
      </c>
      <c r="G24" s="20" t="s">
        <v>18</v>
      </c>
      <c r="H24" s="17" t="s">
        <v>246</v>
      </c>
      <c r="I24" s="48">
        <v>0</v>
      </c>
      <c r="J24" s="48">
        <v>0</v>
      </c>
      <c r="K24" s="21">
        <v>6493555.2199999997</v>
      </c>
      <c r="L24" s="26">
        <v>4831661.4400000004</v>
      </c>
      <c r="M24" s="26">
        <v>1661893.78</v>
      </c>
      <c r="N24" s="26">
        <f t="shared" si="0"/>
        <v>6493555.2200000007</v>
      </c>
      <c r="O24" s="49">
        <v>6493555.2199999997</v>
      </c>
      <c r="P24" s="49">
        <f t="shared" si="1"/>
        <v>0</v>
      </c>
      <c r="Q24" s="50">
        <f t="shared" si="4"/>
        <v>1</v>
      </c>
      <c r="R24" s="51">
        <v>450</v>
      </c>
      <c r="S24" s="51" t="s">
        <v>241</v>
      </c>
      <c r="T24" s="17" t="s">
        <v>52</v>
      </c>
      <c r="U24" s="50">
        <v>1</v>
      </c>
      <c r="V24" s="50" t="s">
        <v>286</v>
      </c>
    </row>
    <row r="25" spans="1:22" ht="120.75" hidden="1" thickBot="1" x14ac:dyDescent="0.25">
      <c r="A25" s="7" t="e">
        <f t="shared" si="5"/>
        <v>#VALUE!</v>
      </c>
      <c r="B25" s="7">
        <v>2024</v>
      </c>
      <c r="C25" s="7" t="s">
        <v>230</v>
      </c>
      <c r="D25" s="18">
        <v>31043</v>
      </c>
      <c r="E25" s="18"/>
      <c r="F25" s="19" t="s">
        <v>19</v>
      </c>
      <c r="G25" s="20" t="s">
        <v>20</v>
      </c>
      <c r="H25" s="17" t="s">
        <v>246</v>
      </c>
      <c r="I25" s="48">
        <v>0</v>
      </c>
      <c r="J25" s="48">
        <v>0</v>
      </c>
      <c r="K25" s="21">
        <v>4647976.59</v>
      </c>
      <c r="L25" s="26">
        <v>4401184.25</v>
      </c>
      <c r="M25" s="26">
        <v>246792.34</v>
      </c>
      <c r="N25" s="26">
        <f t="shared" si="0"/>
        <v>4647976.59</v>
      </c>
      <c r="O25" s="49">
        <v>4647976.59</v>
      </c>
      <c r="P25" s="49">
        <f t="shared" si="1"/>
        <v>0</v>
      </c>
      <c r="Q25" s="50">
        <f t="shared" si="4"/>
        <v>1</v>
      </c>
      <c r="R25" s="51">
        <v>206</v>
      </c>
      <c r="S25" s="51" t="s">
        <v>241</v>
      </c>
      <c r="T25" s="17" t="s">
        <v>52</v>
      </c>
      <c r="U25" s="50">
        <v>1</v>
      </c>
      <c r="V25" s="50" t="s">
        <v>268</v>
      </c>
    </row>
    <row r="26" spans="1:22" ht="150.75" hidden="1" thickBot="1" x14ac:dyDescent="0.25">
      <c r="A26" s="7" t="e">
        <f t="shared" si="5"/>
        <v>#VALUE!</v>
      </c>
      <c r="B26" s="7">
        <v>2024</v>
      </c>
      <c r="C26" s="7" t="s">
        <v>229</v>
      </c>
      <c r="D26" s="18">
        <v>31044</v>
      </c>
      <c r="E26" s="18"/>
      <c r="F26" s="19" t="s">
        <v>21</v>
      </c>
      <c r="G26" s="20" t="s">
        <v>22</v>
      </c>
      <c r="H26" s="17" t="s">
        <v>246</v>
      </c>
      <c r="I26" s="48">
        <v>0</v>
      </c>
      <c r="J26" s="48">
        <v>0</v>
      </c>
      <c r="K26" s="21">
        <v>8254161.4399999995</v>
      </c>
      <c r="L26" s="26">
        <v>7550133.0099999998</v>
      </c>
      <c r="M26" s="26">
        <v>704028.43</v>
      </c>
      <c r="N26" s="26">
        <f t="shared" si="0"/>
        <v>8254161.4399999995</v>
      </c>
      <c r="O26" s="49">
        <v>8254161.4400000004</v>
      </c>
      <c r="P26" s="49">
        <f t="shared" si="1"/>
        <v>0</v>
      </c>
      <c r="Q26" s="50">
        <f t="shared" si="4"/>
        <v>1.0000000000000002</v>
      </c>
      <c r="R26" s="51">
        <v>4752</v>
      </c>
      <c r="S26" s="51" t="s">
        <v>240</v>
      </c>
      <c r="T26" s="17" t="s">
        <v>52</v>
      </c>
      <c r="U26" s="50">
        <v>1</v>
      </c>
      <c r="V26" s="50" t="s">
        <v>285</v>
      </c>
    </row>
    <row r="27" spans="1:22" ht="75.75" hidden="1" thickBot="1" x14ac:dyDescent="0.25">
      <c r="A27" s="7" t="e">
        <f t="shared" si="5"/>
        <v>#VALUE!</v>
      </c>
      <c r="B27" s="7">
        <v>2025</v>
      </c>
      <c r="C27" s="7" t="s">
        <v>231</v>
      </c>
      <c r="D27" s="18">
        <v>31045</v>
      </c>
      <c r="E27" s="18" t="s">
        <v>258</v>
      </c>
      <c r="F27" s="19" t="s">
        <v>74</v>
      </c>
      <c r="G27" s="20" t="s">
        <v>75</v>
      </c>
      <c r="H27" s="17" t="s">
        <v>247</v>
      </c>
      <c r="I27" s="21">
        <v>0</v>
      </c>
      <c r="J27" s="21">
        <v>0</v>
      </c>
      <c r="K27" s="52">
        <v>54000000</v>
      </c>
      <c r="L27" s="26">
        <v>53996872.829999998</v>
      </c>
      <c r="M27" s="26">
        <v>0</v>
      </c>
      <c r="N27" s="26">
        <f t="shared" si="0"/>
        <v>53996872.829999998</v>
      </c>
      <c r="O27" s="49">
        <v>53030825.460000001</v>
      </c>
      <c r="P27" s="49">
        <f t="shared" si="1"/>
        <v>966047.36999999732</v>
      </c>
      <c r="Q27" s="50">
        <f t="shared" ref="Q27:Q62" si="6">+O27/N27</f>
        <v>0.98210919782259554</v>
      </c>
      <c r="R27" s="50"/>
      <c r="S27" s="50"/>
      <c r="T27" s="17" t="s">
        <v>52</v>
      </c>
      <c r="U27" s="50">
        <v>0.75149999999999995</v>
      </c>
      <c r="V27" s="50" t="s">
        <v>267</v>
      </c>
    </row>
    <row r="28" spans="1:22" ht="30.75" hidden="1" thickBot="1" x14ac:dyDescent="0.25">
      <c r="A28" s="7" t="e">
        <f t="shared" si="5"/>
        <v>#VALUE!</v>
      </c>
      <c r="B28" s="7">
        <v>2025</v>
      </c>
      <c r="C28" s="7" t="s">
        <v>221</v>
      </c>
      <c r="D28" s="18">
        <v>31046</v>
      </c>
      <c r="E28" s="18" t="s">
        <v>259</v>
      </c>
      <c r="F28" s="19" t="s">
        <v>78</v>
      </c>
      <c r="G28" s="20" t="s">
        <v>80</v>
      </c>
      <c r="H28" s="17" t="s">
        <v>247</v>
      </c>
      <c r="I28" s="21">
        <v>0</v>
      </c>
      <c r="J28" s="21">
        <v>0</v>
      </c>
      <c r="K28" s="52">
        <v>29998271.699999999</v>
      </c>
      <c r="L28" s="26">
        <v>29808951.84</v>
      </c>
      <c r="M28" s="26">
        <v>5248272.9199999981</v>
      </c>
      <c r="N28" s="26">
        <f t="shared" si="0"/>
        <v>35057224.759999998</v>
      </c>
      <c r="O28" s="49">
        <v>35057224.759999998</v>
      </c>
      <c r="P28" s="49">
        <f t="shared" si="1"/>
        <v>0</v>
      </c>
      <c r="Q28" s="50">
        <f t="shared" si="6"/>
        <v>1</v>
      </c>
      <c r="R28" s="50"/>
      <c r="S28" s="50"/>
      <c r="T28" s="17" t="s">
        <v>52</v>
      </c>
      <c r="U28" s="50">
        <v>1</v>
      </c>
      <c r="V28" s="50" t="s">
        <v>267</v>
      </c>
    </row>
    <row r="29" spans="1:22" ht="60.75" hidden="1" thickBot="1" x14ac:dyDescent="0.25">
      <c r="A29" s="7" t="e">
        <f t="shared" si="5"/>
        <v>#VALUE!</v>
      </c>
      <c r="B29" s="7">
        <v>2025</v>
      </c>
      <c r="C29" s="7" t="s">
        <v>221</v>
      </c>
      <c r="D29" s="18">
        <v>31047</v>
      </c>
      <c r="E29" s="18" t="s">
        <v>258</v>
      </c>
      <c r="F29" s="19" t="s">
        <v>79</v>
      </c>
      <c r="G29" s="20" t="s">
        <v>87</v>
      </c>
      <c r="H29" s="17" t="s">
        <v>247</v>
      </c>
      <c r="I29" s="21">
        <v>0</v>
      </c>
      <c r="J29" s="21">
        <v>0</v>
      </c>
      <c r="K29" s="52">
        <v>3103652.29</v>
      </c>
      <c r="L29" s="26">
        <v>3079978.64</v>
      </c>
      <c r="M29" s="26">
        <v>1221009.96</v>
      </c>
      <c r="N29" s="26">
        <f t="shared" si="0"/>
        <v>4300988.5999999996</v>
      </c>
      <c r="O29" s="49">
        <v>4269150.71</v>
      </c>
      <c r="P29" s="49">
        <f t="shared" si="1"/>
        <v>31837.889999999665</v>
      </c>
      <c r="Q29" s="50">
        <f t="shared" si="6"/>
        <v>0.99259754141175827</v>
      </c>
      <c r="R29" s="50" t="s">
        <v>242</v>
      </c>
      <c r="S29" s="50"/>
      <c r="T29" s="17" t="s">
        <v>52</v>
      </c>
      <c r="U29" s="50">
        <v>1</v>
      </c>
      <c r="V29" s="50" t="s">
        <v>268</v>
      </c>
    </row>
    <row r="30" spans="1:22" ht="75.75" hidden="1" thickBot="1" x14ac:dyDescent="0.25">
      <c r="A30" s="7" t="e">
        <f t="shared" si="5"/>
        <v>#VALUE!</v>
      </c>
      <c r="B30" s="7">
        <v>2025</v>
      </c>
      <c r="C30" s="7" t="s">
        <v>226</v>
      </c>
      <c r="D30" s="18">
        <v>31048</v>
      </c>
      <c r="E30" s="18" t="s">
        <v>258</v>
      </c>
      <c r="F30" s="19" t="s">
        <v>91</v>
      </c>
      <c r="G30" s="20" t="s">
        <v>97</v>
      </c>
      <c r="H30" s="17" t="s">
        <v>247</v>
      </c>
      <c r="I30" s="21">
        <v>0</v>
      </c>
      <c r="J30" s="21">
        <v>0</v>
      </c>
      <c r="K30" s="36">
        <v>28656206.379999999</v>
      </c>
      <c r="L30" s="26">
        <v>28368940.890000001</v>
      </c>
      <c r="M30" s="26">
        <v>3996956.87</v>
      </c>
      <c r="N30" s="26">
        <f t="shared" si="0"/>
        <v>32365897.760000002</v>
      </c>
      <c r="O30" s="49">
        <v>25718623.739999998</v>
      </c>
      <c r="P30" s="49">
        <f t="shared" si="1"/>
        <v>6647274.0200000033</v>
      </c>
      <c r="Q30" s="50">
        <f t="shared" si="6"/>
        <v>0.79462105240240977</v>
      </c>
      <c r="R30" s="51">
        <v>19823</v>
      </c>
      <c r="S30" s="50" t="s">
        <v>240</v>
      </c>
      <c r="T30" s="17" t="s">
        <v>52</v>
      </c>
      <c r="U30" s="50">
        <v>0.95</v>
      </c>
      <c r="V30" s="50" t="s">
        <v>268</v>
      </c>
    </row>
    <row r="31" spans="1:22" ht="105.75" hidden="1" thickBot="1" x14ac:dyDescent="0.25">
      <c r="A31" s="7" t="e">
        <f t="shared" si="5"/>
        <v>#VALUE!</v>
      </c>
      <c r="B31" s="7">
        <v>2025</v>
      </c>
      <c r="C31" s="7" t="s">
        <v>229</v>
      </c>
      <c r="D31" s="18">
        <v>31049</v>
      </c>
      <c r="E31" s="18" t="s">
        <v>258</v>
      </c>
      <c r="F31" s="61" t="s">
        <v>90</v>
      </c>
      <c r="G31" s="20" t="s">
        <v>96</v>
      </c>
      <c r="H31" s="17" t="s">
        <v>247</v>
      </c>
      <c r="I31" s="21">
        <v>0</v>
      </c>
      <c r="J31" s="21">
        <v>0</v>
      </c>
      <c r="K31" s="36">
        <v>7565039.5700000003</v>
      </c>
      <c r="L31" s="26">
        <v>7553941.0199999996</v>
      </c>
      <c r="M31" s="26">
        <v>0</v>
      </c>
      <c r="N31" s="26">
        <f t="shared" si="0"/>
        <v>7553941.0199999996</v>
      </c>
      <c r="O31" s="49">
        <v>6676658.3300000001</v>
      </c>
      <c r="P31" s="49">
        <f t="shared" si="1"/>
        <v>877282.68999999948</v>
      </c>
      <c r="Q31" s="50">
        <f t="shared" si="6"/>
        <v>0.88386423885528309</v>
      </c>
      <c r="R31" s="51">
        <v>5126.8500000000004</v>
      </c>
      <c r="S31" s="50" t="s">
        <v>240</v>
      </c>
      <c r="T31" s="17" t="s">
        <v>52</v>
      </c>
      <c r="U31" s="50">
        <v>1</v>
      </c>
      <c r="V31" s="50" t="s">
        <v>269</v>
      </c>
    </row>
    <row r="32" spans="1:22" ht="90.75" hidden="1" thickBot="1" x14ac:dyDescent="0.25">
      <c r="A32" s="7" t="e">
        <f t="shared" si="5"/>
        <v>#VALUE!</v>
      </c>
      <c r="B32" s="7">
        <v>2025</v>
      </c>
      <c r="C32" s="7" t="s">
        <v>226</v>
      </c>
      <c r="D32" s="18">
        <v>31050</v>
      </c>
      <c r="E32" s="18" t="s">
        <v>258</v>
      </c>
      <c r="F32" s="19" t="s">
        <v>101</v>
      </c>
      <c r="G32" s="20" t="s">
        <v>103</v>
      </c>
      <c r="H32" s="17" t="s">
        <v>247</v>
      </c>
      <c r="I32" s="21">
        <v>0</v>
      </c>
      <c r="J32" s="21">
        <v>0</v>
      </c>
      <c r="K32" s="36">
        <v>19346319.800000001</v>
      </c>
      <c r="L32" s="26">
        <v>19246776.25</v>
      </c>
      <c r="M32" s="26">
        <v>1589155.95</v>
      </c>
      <c r="N32" s="26">
        <f t="shared" si="0"/>
        <v>20835932.199999999</v>
      </c>
      <c r="O32" s="49">
        <v>17399842.07</v>
      </c>
      <c r="P32" s="49">
        <f t="shared" si="1"/>
        <v>3436090.129999999</v>
      </c>
      <c r="Q32" s="50">
        <f t="shared" si="6"/>
        <v>0.83508824577572782</v>
      </c>
      <c r="R32" s="51">
        <v>11925</v>
      </c>
      <c r="S32" s="50" t="s">
        <v>240</v>
      </c>
      <c r="T32" s="17" t="s">
        <v>52</v>
      </c>
      <c r="U32" s="50">
        <v>0.2</v>
      </c>
      <c r="V32" s="50" t="s">
        <v>268</v>
      </c>
    </row>
    <row r="33" spans="1:23" ht="90.75" hidden="1" thickBot="1" x14ac:dyDescent="0.25">
      <c r="A33" s="7" t="e">
        <f t="shared" si="5"/>
        <v>#VALUE!</v>
      </c>
      <c r="B33" s="7">
        <v>2025</v>
      </c>
      <c r="C33" s="7" t="s">
        <v>226</v>
      </c>
      <c r="D33" s="18">
        <v>31051</v>
      </c>
      <c r="E33" s="18" t="s">
        <v>258</v>
      </c>
      <c r="F33" s="61" t="s">
        <v>102</v>
      </c>
      <c r="G33" s="20" t="s">
        <v>104</v>
      </c>
      <c r="H33" s="17" t="s">
        <v>247</v>
      </c>
      <c r="I33" s="21">
        <v>0</v>
      </c>
      <c r="J33" s="21">
        <v>0</v>
      </c>
      <c r="K33" s="36">
        <v>25698047.949999999</v>
      </c>
      <c r="L33" s="26">
        <v>25428636.890000001</v>
      </c>
      <c r="M33" s="26">
        <v>0</v>
      </c>
      <c r="N33" s="26">
        <f t="shared" si="0"/>
        <v>25428636.890000001</v>
      </c>
      <c r="O33" s="49">
        <v>22787366.059999999</v>
      </c>
      <c r="P33" s="49">
        <f t="shared" si="1"/>
        <v>2641270.8300000019</v>
      </c>
      <c r="Q33" s="50">
        <f t="shared" si="6"/>
        <v>0.89613006621527946</v>
      </c>
      <c r="R33" s="51">
        <v>19975.3</v>
      </c>
      <c r="S33" s="50" t="s">
        <v>240</v>
      </c>
      <c r="T33" s="17" t="s">
        <v>52</v>
      </c>
      <c r="U33" s="50">
        <v>1</v>
      </c>
      <c r="V33" s="50" t="s">
        <v>270</v>
      </c>
    </row>
    <row r="34" spans="1:23" ht="90.75" hidden="1" thickBot="1" x14ac:dyDescent="0.25">
      <c r="A34" s="7" t="e">
        <f t="shared" si="5"/>
        <v>#VALUE!</v>
      </c>
      <c r="B34" s="7">
        <v>2025</v>
      </c>
      <c r="C34" s="7" t="s">
        <v>229</v>
      </c>
      <c r="D34" s="18">
        <v>31053</v>
      </c>
      <c r="E34" s="18" t="s">
        <v>258</v>
      </c>
      <c r="F34" s="61" t="s">
        <v>111</v>
      </c>
      <c r="G34" s="20" t="s">
        <v>114</v>
      </c>
      <c r="H34" s="17" t="s">
        <v>247</v>
      </c>
      <c r="I34" s="21">
        <v>0</v>
      </c>
      <c r="J34" s="21">
        <v>0</v>
      </c>
      <c r="K34" s="36">
        <v>6800020.8700000001</v>
      </c>
      <c r="L34" s="26">
        <v>6698665.0199999996</v>
      </c>
      <c r="M34" s="26">
        <v>0</v>
      </c>
      <c r="N34" s="26">
        <f t="shared" si="0"/>
        <v>6698665.0199999996</v>
      </c>
      <c r="O34" s="49">
        <v>6421623.2699999996</v>
      </c>
      <c r="P34" s="49">
        <f t="shared" si="1"/>
        <v>277041.75</v>
      </c>
      <c r="Q34" s="50">
        <f t="shared" si="6"/>
        <v>0.95864224451098168</v>
      </c>
      <c r="R34" s="54">
        <v>3645</v>
      </c>
      <c r="S34" s="50" t="s">
        <v>240</v>
      </c>
      <c r="T34" s="17" t="s">
        <v>52</v>
      </c>
      <c r="U34" s="50">
        <v>1</v>
      </c>
      <c r="V34" s="50" t="s">
        <v>269</v>
      </c>
    </row>
    <row r="35" spans="1:23" ht="60.75" hidden="1" thickBot="1" x14ac:dyDescent="0.25">
      <c r="A35" s="7" t="e">
        <f t="shared" si="5"/>
        <v>#VALUE!</v>
      </c>
      <c r="B35" s="7">
        <v>2025</v>
      </c>
      <c r="C35" s="7" t="s">
        <v>226</v>
      </c>
      <c r="D35" s="18">
        <v>31054</v>
      </c>
      <c r="E35" s="18" t="s">
        <v>258</v>
      </c>
      <c r="F35" s="61" t="s">
        <v>112</v>
      </c>
      <c r="G35" s="53" t="s">
        <v>115</v>
      </c>
      <c r="H35" s="17" t="s">
        <v>247</v>
      </c>
      <c r="I35" s="21">
        <v>0</v>
      </c>
      <c r="J35" s="21">
        <v>0</v>
      </c>
      <c r="K35" s="36">
        <v>21741406.629999999</v>
      </c>
      <c r="L35" s="26">
        <v>21734712.75</v>
      </c>
      <c r="M35" s="26">
        <v>813247.8</v>
      </c>
      <c r="N35" s="26">
        <f t="shared" si="0"/>
        <v>22547960.550000001</v>
      </c>
      <c r="O35" s="49">
        <v>16450250.470000001</v>
      </c>
      <c r="P35" s="49">
        <f t="shared" si="1"/>
        <v>6097710.0800000001</v>
      </c>
      <c r="Q35" s="50">
        <f t="shared" si="6"/>
        <v>0.72956711244556438</v>
      </c>
      <c r="R35" s="54">
        <v>11518</v>
      </c>
      <c r="S35" s="54" t="s">
        <v>240</v>
      </c>
      <c r="T35" s="17" t="s">
        <v>52</v>
      </c>
      <c r="U35" s="50">
        <v>0.39550000000000002</v>
      </c>
      <c r="V35" s="50" t="s">
        <v>265</v>
      </c>
    </row>
    <row r="36" spans="1:23" ht="60.75" hidden="1" thickBot="1" x14ac:dyDescent="0.25">
      <c r="A36" s="7" t="e">
        <f t="shared" si="5"/>
        <v>#VALUE!</v>
      </c>
      <c r="B36" s="7">
        <v>2025</v>
      </c>
      <c r="C36" s="7" t="s">
        <v>221</v>
      </c>
      <c r="D36" s="18">
        <v>31055</v>
      </c>
      <c r="E36" s="18" t="s">
        <v>259</v>
      </c>
      <c r="F36" s="19" t="s">
        <v>113</v>
      </c>
      <c r="G36" s="53" t="s">
        <v>123</v>
      </c>
      <c r="H36" s="17" t="s">
        <v>247</v>
      </c>
      <c r="I36" s="21">
        <v>0</v>
      </c>
      <c r="J36" s="21">
        <v>0</v>
      </c>
      <c r="K36" s="36">
        <v>42285962.219999999</v>
      </c>
      <c r="L36" s="26">
        <v>42074202.520000003</v>
      </c>
      <c r="M36" s="26">
        <v>0</v>
      </c>
      <c r="N36" s="26">
        <f t="shared" si="0"/>
        <v>42074202.520000003</v>
      </c>
      <c r="O36" s="49">
        <v>39587616.539999999</v>
      </c>
      <c r="P36" s="49">
        <f t="shared" si="1"/>
        <v>2486585.9800000042</v>
      </c>
      <c r="Q36" s="50">
        <f t="shared" si="6"/>
        <v>0.94089998547642095</v>
      </c>
      <c r="R36" s="54"/>
      <c r="S36" s="54"/>
      <c r="T36" s="17" t="s">
        <v>52</v>
      </c>
      <c r="U36" s="50">
        <v>0.84299999999999997</v>
      </c>
      <c r="V36" s="50" t="s">
        <v>268</v>
      </c>
    </row>
    <row r="37" spans="1:23" ht="51" hidden="1" customHeight="1" thickBot="1" x14ac:dyDescent="0.25">
      <c r="A37" s="7" t="e">
        <f t="shared" si="5"/>
        <v>#VALUE!</v>
      </c>
      <c r="B37" s="7">
        <v>2025</v>
      </c>
      <c r="C37" s="7" t="s">
        <v>222</v>
      </c>
      <c r="D37" s="18">
        <v>31056</v>
      </c>
      <c r="E37" s="18" t="s">
        <v>259</v>
      </c>
      <c r="F37" s="19" t="s">
        <v>127</v>
      </c>
      <c r="G37" s="53" t="s">
        <v>137</v>
      </c>
      <c r="H37" s="17" t="s">
        <v>247</v>
      </c>
      <c r="I37" s="21">
        <v>0</v>
      </c>
      <c r="J37" s="21">
        <v>0</v>
      </c>
      <c r="K37" s="36">
        <v>35903786.590000004</v>
      </c>
      <c r="L37" s="26">
        <v>35637851.850000001</v>
      </c>
      <c r="M37" s="26">
        <v>0</v>
      </c>
      <c r="N37" s="26">
        <f t="shared" si="0"/>
        <v>35637851.850000001</v>
      </c>
      <c r="O37" s="49">
        <v>20691852.969999999</v>
      </c>
      <c r="P37" s="49">
        <f t="shared" si="1"/>
        <v>14945998.880000003</v>
      </c>
      <c r="Q37" s="50">
        <f t="shared" si="6"/>
        <v>0.58061448420326145</v>
      </c>
      <c r="R37" s="54"/>
      <c r="S37" s="54"/>
      <c r="T37" s="17" t="s">
        <v>52</v>
      </c>
      <c r="U37" s="50">
        <v>0.40749999999999997</v>
      </c>
      <c r="V37" s="50" t="s">
        <v>269</v>
      </c>
    </row>
    <row r="38" spans="1:23" ht="93" customHeight="1" thickBot="1" x14ac:dyDescent="0.25">
      <c r="A38" s="7" t="e">
        <f t="shared" si="5"/>
        <v>#VALUE!</v>
      </c>
      <c r="B38" s="7">
        <v>2025</v>
      </c>
      <c r="C38" s="7" t="s">
        <v>222</v>
      </c>
      <c r="D38" s="18">
        <v>31057</v>
      </c>
      <c r="E38" s="18" t="s">
        <v>259</v>
      </c>
      <c r="F38" s="19" t="s">
        <v>128</v>
      </c>
      <c r="G38" s="53" t="s">
        <v>139</v>
      </c>
      <c r="H38" s="17" t="s">
        <v>247</v>
      </c>
      <c r="I38" s="21">
        <v>0</v>
      </c>
      <c r="J38" s="21">
        <v>0</v>
      </c>
      <c r="K38" s="36">
        <v>1478056.17</v>
      </c>
      <c r="L38" s="26">
        <v>1461725.98</v>
      </c>
      <c r="M38" s="26">
        <v>0</v>
      </c>
      <c r="N38" s="26">
        <f t="shared" si="0"/>
        <v>1461725.98</v>
      </c>
      <c r="O38" s="49">
        <v>438517.79</v>
      </c>
      <c r="P38" s="49">
        <f t="shared" si="1"/>
        <v>1023208.19</v>
      </c>
      <c r="Q38" s="50">
        <f t="shared" si="6"/>
        <v>0.29999999726350896</v>
      </c>
      <c r="R38" s="54"/>
      <c r="S38" s="54"/>
      <c r="T38" s="17" t="s">
        <v>52</v>
      </c>
      <c r="U38" s="50">
        <v>1</v>
      </c>
      <c r="V38" s="50" t="s">
        <v>287</v>
      </c>
      <c r="W38" s="75">
        <v>25</v>
      </c>
    </row>
    <row r="39" spans="1:23" ht="93" customHeight="1" thickBot="1" x14ac:dyDescent="0.25">
      <c r="A39" s="7" t="e">
        <f t="shared" si="5"/>
        <v>#VALUE!</v>
      </c>
      <c r="B39" s="7">
        <v>2025</v>
      </c>
      <c r="C39" s="7" t="s">
        <v>222</v>
      </c>
      <c r="D39" s="18">
        <v>31058</v>
      </c>
      <c r="E39" s="18" t="s">
        <v>259</v>
      </c>
      <c r="F39" s="19" t="s">
        <v>129</v>
      </c>
      <c r="G39" s="53" t="s">
        <v>138</v>
      </c>
      <c r="H39" s="17" t="s">
        <v>247</v>
      </c>
      <c r="I39" s="21">
        <v>0</v>
      </c>
      <c r="J39" s="21">
        <v>0</v>
      </c>
      <c r="K39" s="36">
        <v>9789745.6799999997</v>
      </c>
      <c r="L39" s="26">
        <v>9674712.7100000009</v>
      </c>
      <c r="M39" s="26">
        <v>0</v>
      </c>
      <c r="N39" s="26">
        <f t="shared" si="0"/>
        <v>9674712.7100000009</v>
      </c>
      <c r="O39" s="49">
        <v>5501415.6500000004</v>
      </c>
      <c r="P39" s="49">
        <f t="shared" si="1"/>
        <v>4173297.0600000005</v>
      </c>
      <c r="Q39" s="50">
        <f t="shared" si="6"/>
        <v>0.56863865779844947</v>
      </c>
      <c r="R39" s="54"/>
      <c r="S39" s="54"/>
      <c r="T39" s="17" t="s">
        <v>52</v>
      </c>
      <c r="U39" s="50">
        <v>0.51529999999999998</v>
      </c>
      <c r="V39" s="50" t="s">
        <v>287</v>
      </c>
      <c r="W39" s="75">
        <v>25</v>
      </c>
    </row>
    <row r="40" spans="1:23" ht="93" customHeight="1" thickBot="1" x14ac:dyDescent="0.25">
      <c r="A40" s="7" t="e">
        <f t="shared" si="5"/>
        <v>#VALUE!</v>
      </c>
      <c r="B40" s="7">
        <v>2025</v>
      </c>
      <c r="C40" s="7" t="s">
        <v>222</v>
      </c>
      <c r="D40" s="18">
        <v>31059</v>
      </c>
      <c r="E40" s="18" t="s">
        <v>259</v>
      </c>
      <c r="F40" s="19" t="s">
        <v>130</v>
      </c>
      <c r="G40" s="53" t="s">
        <v>140</v>
      </c>
      <c r="H40" s="17" t="s">
        <v>247</v>
      </c>
      <c r="I40" s="21">
        <v>0</v>
      </c>
      <c r="J40" s="21">
        <v>0</v>
      </c>
      <c r="K40" s="36">
        <v>15685567.33</v>
      </c>
      <c r="L40" s="26">
        <v>15574109.640000001</v>
      </c>
      <c r="M40" s="26">
        <v>0</v>
      </c>
      <c r="N40" s="26">
        <f t="shared" si="0"/>
        <v>15574109.640000001</v>
      </c>
      <c r="O40" s="49">
        <v>14111238.01</v>
      </c>
      <c r="P40" s="49">
        <f t="shared" si="1"/>
        <v>1462871.6300000008</v>
      </c>
      <c r="Q40" s="50">
        <f t="shared" si="6"/>
        <v>0.90607028820172086</v>
      </c>
      <c r="R40" s="50"/>
      <c r="S40" s="50"/>
      <c r="T40" s="17" t="s">
        <v>52</v>
      </c>
      <c r="U40" s="50">
        <v>0.63</v>
      </c>
      <c r="V40" s="50" t="s">
        <v>287</v>
      </c>
      <c r="W40" s="75">
        <v>25</v>
      </c>
    </row>
    <row r="41" spans="1:23" ht="93" hidden="1" customHeight="1" thickBot="1" x14ac:dyDescent="0.25">
      <c r="A41" s="7" t="e">
        <f t="shared" si="5"/>
        <v>#VALUE!</v>
      </c>
      <c r="B41" s="7">
        <v>2025</v>
      </c>
      <c r="C41" s="7" t="s">
        <v>226</v>
      </c>
      <c r="D41" s="18">
        <v>31060</v>
      </c>
      <c r="E41" s="18" t="s">
        <v>258</v>
      </c>
      <c r="F41" s="19" t="s">
        <v>132</v>
      </c>
      <c r="G41" s="53" t="s">
        <v>141</v>
      </c>
      <c r="H41" s="17" t="s">
        <v>247</v>
      </c>
      <c r="I41" s="21">
        <v>0</v>
      </c>
      <c r="J41" s="21">
        <v>0</v>
      </c>
      <c r="K41" s="36">
        <v>23914114.280000001</v>
      </c>
      <c r="L41" s="26">
        <v>23681231.75</v>
      </c>
      <c r="M41" s="26">
        <v>5240075.24</v>
      </c>
      <c r="N41" s="26">
        <f t="shared" si="0"/>
        <v>28921306.990000002</v>
      </c>
      <c r="O41" s="49">
        <v>17575415.530000001</v>
      </c>
      <c r="P41" s="49">
        <f t="shared" si="1"/>
        <v>11345891.460000001</v>
      </c>
      <c r="Q41" s="50">
        <f t="shared" si="6"/>
        <v>0.60769783108616005</v>
      </c>
      <c r="R41" s="51">
        <v>21170.35</v>
      </c>
      <c r="S41" s="50" t="s">
        <v>240</v>
      </c>
      <c r="T41" s="17" t="s">
        <v>52</v>
      </c>
      <c r="U41" s="50">
        <v>0.14099999999999999</v>
      </c>
      <c r="V41" s="50" t="s">
        <v>268</v>
      </c>
    </row>
    <row r="42" spans="1:23" ht="90.75" hidden="1" thickBot="1" x14ac:dyDescent="0.25">
      <c r="A42" s="7" t="e">
        <f t="shared" si="5"/>
        <v>#VALUE!</v>
      </c>
      <c r="B42" s="7">
        <v>2025</v>
      </c>
      <c r="C42" s="7" t="s">
        <v>221</v>
      </c>
      <c r="D42" s="18">
        <v>31062</v>
      </c>
      <c r="E42" s="18" t="s">
        <v>259</v>
      </c>
      <c r="F42" s="19" t="s">
        <v>167</v>
      </c>
      <c r="G42" s="53" t="s">
        <v>171</v>
      </c>
      <c r="H42" s="17" t="s">
        <v>247</v>
      </c>
      <c r="I42" s="21">
        <v>0</v>
      </c>
      <c r="J42" s="21">
        <v>0</v>
      </c>
      <c r="K42" s="36">
        <v>1441539.22</v>
      </c>
      <c r="L42" s="26">
        <v>1441539.22</v>
      </c>
      <c r="M42" s="26">
        <v>0</v>
      </c>
      <c r="N42" s="26">
        <f t="shared" si="0"/>
        <v>1441539.22</v>
      </c>
      <c r="O42" s="49">
        <v>427171.49</v>
      </c>
      <c r="P42" s="49">
        <f t="shared" si="1"/>
        <v>1014367.73</v>
      </c>
      <c r="Q42" s="50">
        <f t="shared" si="6"/>
        <v>0.29633011996718339</v>
      </c>
      <c r="R42" s="51"/>
      <c r="S42" s="51"/>
      <c r="T42" s="17" t="s">
        <v>52</v>
      </c>
      <c r="U42" s="50">
        <v>0</v>
      </c>
      <c r="V42" s="50" t="s">
        <v>271</v>
      </c>
    </row>
    <row r="43" spans="1:23" ht="75.75" hidden="1" thickBot="1" x14ac:dyDescent="0.25">
      <c r="A43" s="7" t="e">
        <f t="shared" si="5"/>
        <v>#VALUE!</v>
      </c>
      <c r="B43" s="7">
        <v>2025</v>
      </c>
      <c r="C43" s="7" t="s">
        <v>229</v>
      </c>
      <c r="D43" s="18">
        <v>31063</v>
      </c>
      <c r="E43" s="18" t="s">
        <v>259</v>
      </c>
      <c r="F43" s="61" t="s">
        <v>169</v>
      </c>
      <c r="G43" s="53" t="s">
        <v>172</v>
      </c>
      <c r="H43" s="17" t="s">
        <v>251</v>
      </c>
      <c r="I43" s="21">
        <v>0</v>
      </c>
      <c r="J43" s="21">
        <v>0</v>
      </c>
      <c r="K43" s="36">
        <v>1022817.69</v>
      </c>
      <c r="L43" s="26">
        <v>1010521.51</v>
      </c>
      <c r="M43" s="26"/>
      <c r="N43" s="26">
        <v>1010521.51</v>
      </c>
      <c r="O43" s="49">
        <v>303156.45</v>
      </c>
      <c r="P43" s="49">
        <f>N43-O43</f>
        <v>707365.06</v>
      </c>
      <c r="Q43" s="50">
        <f t="shared" si="6"/>
        <v>0.29999999703123587</v>
      </c>
      <c r="R43" s="51">
        <v>548.24</v>
      </c>
      <c r="S43" s="51" t="s">
        <v>240</v>
      </c>
      <c r="T43" s="17" t="s">
        <v>76</v>
      </c>
      <c r="U43" s="50"/>
      <c r="V43" s="50" t="s">
        <v>265</v>
      </c>
    </row>
    <row r="44" spans="1:23" ht="75.75" hidden="1" thickBot="1" x14ac:dyDescent="0.25">
      <c r="A44" s="7" t="e">
        <f t="shared" si="5"/>
        <v>#VALUE!</v>
      </c>
      <c r="B44" s="7">
        <v>2025</v>
      </c>
      <c r="C44" s="7" t="s">
        <v>229</v>
      </c>
      <c r="D44" s="18">
        <v>31061</v>
      </c>
      <c r="E44" s="18" t="s">
        <v>258</v>
      </c>
      <c r="F44" s="61" t="s">
        <v>131</v>
      </c>
      <c r="G44" s="53" t="s">
        <v>148</v>
      </c>
      <c r="H44" s="17" t="s">
        <v>250</v>
      </c>
      <c r="I44" s="21">
        <v>0</v>
      </c>
      <c r="J44" s="21">
        <v>0</v>
      </c>
      <c r="K44" s="36">
        <v>3334706.82</v>
      </c>
      <c r="L44" s="26">
        <v>3301235.64</v>
      </c>
      <c r="M44" s="26">
        <v>0</v>
      </c>
      <c r="N44" s="26">
        <f>+L44+M44</f>
        <v>3301235.64</v>
      </c>
      <c r="O44" s="49">
        <v>3157294.56</v>
      </c>
      <c r="P44" s="49">
        <f>+N44-O44</f>
        <v>143941.08000000007</v>
      </c>
      <c r="Q44" s="50">
        <f t="shared" si="6"/>
        <v>0.9563978171518831</v>
      </c>
      <c r="R44" s="51">
        <v>1911.76</v>
      </c>
      <c r="S44" s="51" t="s">
        <v>240</v>
      </c>
      <c r="T44" s="17" t="s">
        <v>52</v>
      </c>
      <c r="U44" s="50">
        <v>0.94</v>
      </c>
      <c r="V44" s="50" t="s">
        <v>272</v>
      </c>
    </row>
    <row r="45" spans="1:23" ht="90.75" hidden="1" thickBot="1" x14ac:dyDescent="0.25">
      <c r="A45" s="7" t="e">
        <f t="shared" si="5"/>
        <v>#VALUE!</v>
      </c>
      <c r="B45" s="7">
        <v>2025</v>
      </c>
      <c r="C45" s="7" t="s">
        <v>232</v>
      </c>
      <c r="D45" s="18">
        <v>40504</v>
      </c>
      <c r="E45" s="18" t="s">
        <v>259</v>
      </c>
      <c r="F45" s="19" t="s">
        <v>124</v>
      </c>
      <c r="G45" s="53" t="s">
        <v>142</v>
      </c>
      <c r="H45" s="17" t="s">
        <v>252</v>
      </c>
      <c r="I45" s="21">
        <v>0</v>
      </c>
      <c r="J45" s="21">
        <v>0</v>
      </c>
      <c r="K45" s="36">
        <v>12051722.34</v>
      </c>
      <c r="L45" s="26">
        <v>11950707.1</v>
      </c>
      <c r="M45" s="26">
        <v>0</v>
      </c>
      <c r="N45" s="26">
        <f>+L45+M45</f>
        <v>11950707.1</v>
      </c>
      <c r="O45" s="49">
        <v>11154641.699999999</v>
      </c>
      <c r="P45" s="49">
        <f>+N45-O45</f>
        <v>796065.40000000037</v>
      </c>
      <c r="Q45" s="50">
        <f t="shared" si="6"/>
        <v>0.93338759009498273</v>
      </c>
      <c r="R45" s="51"/>
      <c r="S45" s="51"/>
      <c r="T45" s="17" t="s">
        <v>52</v>
      </c>
      <c r="U45" s="50">
        <v>0.92</v>
      </c>
      <c r="V45" s="50" t="s">
        <v>272</v>
      </c>
    </row>
    <row r="46" spans="1:23" ht="60.75" hidden="1" thickBot="1" x14ac:dyDescent="0.25">
      <c r="A46" s="7" t="e">
        <f t="shared" si="5"/>
        <v>#VALUE!</v>
      </c>
      <c r="B46" s="7">
        <v>2025</v>
      </c>
      <c r="C46" s="7" t="s">
        <v>235</v>
      </c>
      <c r="D46" s="18">
        <v>250107</v>
      </c>
      <c r="E46" s="18" t="s">
        <v>258</v>
      </c>
      <c r="F46" s="19" t="s">
        <v>92</v>
      </c>
      <c r="G46" s="60" t="s">
        <v>93</v>
      </c>
      <c r="H46" s="17" t="s">
        <v>253</v>
      </c>
      <c r="I46" s="21"/>
      <c r="J46" s="21"/>
      <c r="K46" s="21">
        <v>154350064.77000001</v>
      </c>
      <c r="L46" s="26">
        <v>154350064.77000001</v>
      </c>
      <c r="M46" s="26"/>
      <c r="N46" s="26">
        <f>I46+K46</f>
        <v>154350064.77000001</v>
      </c>
      <c r="O46" s="49">
        <f>N46</f>
        <v>154350064.77000001</v>
      </c>
      <c r="P46" s="49">
        <v>0</v>
      </c>
      <c r="Q46" s="50">
        <f t="shared" si="6"/>
        <v>1</v>
      </c>
      <c r="R46" s="51"/>
      <c r="S46" s="51"/>
      <c r="T46" s="17" t="s">
        <v>94</v>
      </c>
      <c r="U46" s="50">
        <v>1</v>
      </c>
      <c r="V46" s="50" t="s">
        <v>273</v>
      </c>
    </row>
    <row r="47" spans="1:23" ht="120.75" hidden="1" thickBot="1" x14ac:dyDescent="0.25">
      <c r="A47" s="7" t="e">
        <f>A45+1</f>
        <v>#VALUE!</v>
      </c>
      <c r="B47" s="7">
        <v>2025</v>
      </c>
      <c r="C47" s="7" t="s">
        <v>226</v>
      </c>
      <c r="D47" s="18">
        <v>50342</v>
      </c>
      <c r="E47" s="18" t="s">
        <v>258</v>
      </c>
      <c r="F47" s="61" t="s">
        <v>66</v>
      </c>
      <c r="G47" s="53" t="s">
        <v>67</v>
      </c>
      <c r="H47" s="17" t="s">
        <v>249</v>
      </c>
      <c r="I47" s="21">
        <v>0</v>
      </c>
      <c r="J47" s="21">
        <v>0</v>
      </c>
      <c r="K47" s="52">
        <v>31403063.609999999</v>
      </c>
      <c r="L47" s="26">
        <v>30972924.07</v>
      </c>
      <c r="M47" s="26">
        <v>0</v>
      </c>
      <c r="N47" s="26">
        <f t="shared" ref="N47:N76" si="7">+L47+M47</f>
        <v>30972924.07</v>
      </c>
      <c r="O47" s="49">
        <v>29982021.510000002</v>
      </c>
      <c r="P47" s="49">
        <f t="shared" ref="P47:P76" si="8">+N47-O47</f>
        <v>990902.55999999866</v>
      </c>
      <c r="Q47" s="50">
        <f t="shared" si="6"/>
        <v>0.96800745845757019</v>
      </c>
      <c r="R47" s="51">
        <v>13802</v>
      </c>
      <c r="S47" s="51" t="s">
        <v>240</v>
      </c>
      <c r="T47" s="17" t="s">
        <v>52</v>
      </c>
      <c r="U47" s="50">
        <v>1</v>
      </c>
      <c r="V47" s="50" t="s">
        <v>264</v>
      </c>
    </row>
    <row r="48" spans="1:23" ht="75.75" hidden="1" thickBot="1" x14ac:dyDescent="0.25">
      <c r="A48" s="7" t="e">
        <f t="shared" ref="A48:A62" si="9">A47+1</f>
        <v>#VALUE!</v>
      </c>
      <c r="B48" s="7">
        <v>2025</v>
      </c>
      <c r="C48" s="7" t="s">
        <v>221</v>
      </c>
      <c r="D48" s="18">
        <v>50343</v>
      </c>
      <c r="E48" s="18" t="s">
        <v>258</v>
      </c>
      <c r="F48" s="19" t="s">
        <v>81</v>
      </c>
      <c r="G48" s="53" t="s">
        <v>85</v>
      </c>
      <c r="H48" s="17" t="s">
        <v>249</v>
      </c>
      <c r="I48" s="21">
        <v>0</v>
      </c>
      <c r="J48" s="21">
        <v>0</v>
      </c>
      <c r="K48" s="52">
        <v>3515777.91</v>
      </c>
      <c r="L48" s="26">
        <v>3481187.63</v>
      </c>
      <c r="M48" s="26">
        <v>0</v>
      </c>
      <c r="N48" s="26">
        <f t="shared" si="7"/>
        <v>3481187.63</v>
      </c>
      <c r="O48" s="49">
        <v>2500186.8199999998</v>
      </c>
      <c r="P48" s="49">
        <f t="shared" si="8"/>
        <v>981000.81</v>
      </c>
      <c r="Q48" s="50">
        <f t="shared" si="6"/>
        <v>0.71819938645478865</v>
      </c>
      <c r="R48" s="51"/>
      <c r="S48" s="51"/>
      <c r="T48" s="17" t="s">
        <v>52</v>
      </c>
      <c r="U48" s="50">
        <v>1</v>
      </c>
      <c r="V48" s="50" t="s">
        <v>270</v>
      </c>
    </row>
    <row r="49" spans="1:23" ht="105.75" hidden="1" thickBot="1" x14ac:dyDescent="0.25">
      <c r="A49" s="7" t="e">
        <f t="shared" si="9"/>
        <v>#VALUE!</v>
      </c>
      <c r="B49" s="7">
        <v>2025</v>
      </c>
      <c r="C49" s="7" t="s">
        <v>224</v>
      </c>
      <c r="D49" s="18">
        <v>50344</v>
      </c>
      <c r="E49" s="18" t="s">
        <v>258</v>
      </c>
      <c r="F49" s="19" t="s">
        <v>82</v>
      </c>
      <c r="G49" s="53" t="s">
        <v>86</v>
      </c>
      <c r="H49" s="17" t="s">
        <v>249</v>
      </c>
      <c r="I49" s="21">
        <v>0</v>
      </c>
      <c r="J49" s="21">
        <v>0</v>
      </c>
      <c r="K49" s="52">
        <v>1005143.93</v>
      </c>
      <c r="L49" s="26">
        <v>995633.78</v>
      </c>
      <c r="M49" s="26">
        <v>-84288.79</v>
      </c>
      <c r="N49" s="26">
        <f t="shared" si="7"/>
        <v>911344.99</v>
      </c>
      <c r="O49" s="49">
        <v>911344.99</v>
      </c>
      <c r="P49" s="49">
        <f t="shared" si="8"/>
        <v>0</v>
      </c>
      <c r="Q49" s="50">
        <f t="shared" si="6"/>
        <v>1</v>
      </c>
      <c r="R49" s="51"/>
      <c r="S49" s="51"/>
      <c r="T49" s="17" t="s">
        <v>52</v>
      </c>
      <c r="U49" s="50">
        <v>1</v>
      </c>
      <c r="V49" s="50" t="s">
        <v>268</v>
      </c>
    </row>
    <row r="50" spans="1:23" ht="60.75" hidden="1" thickBot="1" x14ac:dyDescent="0.25">
      <c r="A50" s="7" t="e">
        <f t="shared" si="9"/>
        <v>#VALUE!</v>
      </c>
      <c r="B50" s="7">
        <v>2025</v>
      </c>
      <c r="C50" s="7" t="s">
        <v>229</v>
      </c>
      <c r="D50" s="18">
        <v>50346</v>
      </c>
      <c r="E50" s="18" t="s">
        <v>258</v>
      </c>
      <c r="F50" s="19" t="s">
        <v>83</v>
      </c>
      <c r="G50" s="53" t="s">
        <v>95</v>
      </c>
      <c r="H50" s="17" t="s">
        <v>249</v>
      </c>
      <c r="I50" s="21">
        <v>0</v>
      </c>
      <c r="J50" s="21">
        <v>0</v>
      </c>
      <c r="K50" s="36">
        <v>4007302.84</v>
      </c>
      <c r="L50" s="26">
        <v>3983992.48</v>
      </c>
      <c r="M50" s="26">
        <v>0</v>
      </c>
      <c r="N50" s="26">
        <f t="shared" si="7"/>
        <v>3983992.48</v>
      </c>
      <c r="O50" s="49">
        <v>3750596.27</v>
      </c>
      <c r="P50" s="49">
        <f t="shared" si="8"/>
        <v>233396.20999999996</v>
      </c>
      <c r="Q50" s="50">
        <f t="shared" si="6"/>
        <v>0.94141650337653249</v>
      </c>
      <c r="R50" s="51">
        <v>2068</v>
      </c>
      <c r="S50" s="51" t="s">
        <v>240</v>
      </c>
      <c r="T50" s="17" t="s">
        <v>52</v>
      </c>
      <c r="U50" s="50">
        <v>0.89</v>
      </c>
      <c r="V50" s="50" t="s">
        <v>268</v>
      </c>
    </row>
    <row r="51" spans="1:23" ht="75.75" hidden="1" thickBot="1" x14ac:dyDescent="0.25">
      <c r="A51" s="7" t="e">
        <f t="shared" si="9"/>
        <v>#VALUE!</v>
      </c>
      <c r="B51" s="7">
        <v>2025</v>
      </c>
      <c r="C51" s="7" t="s">
        <v>226</v>
      </c>
      <c r="D51" s="18">
        <v>50347</v>
      </c>
      <c r="E51" s="18" t="s">
        <v>258</v>
      </c>
      <c r="F51" s="61" t="s">
        <v>105</v>
      </c>
      <c r="G51" s="53" t="s">
        <v>107</v>
      </c>
      <c r="H51" s="17" t="s">
        <v>249</v>
      </c>
      <c r="I51" s="21">
        <v>0</v>
      </c>
      <c r="J51" s="21">
        <v>0</v>
      </c>
      <c r="K51" s="36">
        <v>9011772.8499999996</v>
      </c>
      <c r="L51" s="26">
        <v>8909888.1699999999</v>
      </c>
      <c r="M51" s="26">
        <v>0</v>
      </c>
      <c r="N51" s="26">
        <f t="shared" si="7"/>
        <v>8909888.1699999999</v>
      </c>
      <c r="O51" s="49">
        <v>8387210.2699999996</v>
      </c>
      <c r="P51" s="49">
        <f t="shared" si="8"/>
        <v>522677.90000000037</v>
      </c>
      <c r="Q51" s="50">
        <f t="shared" si="6"/>
        <v>0.94133732208223664</v>
      </c>
      <c r="R51" s="51">
        <v>6700</v>
      </c>
      <c r="S51" s="51" t="s">
        <v>240</v>
      </c>
      <c r="T51" s="17" t="s">
        <v>52</v>
      </c>
      <c r="U51" s="50">
        <v>1</v>
      </c>
      <c r="V51" s="50" t="s">
        <v>270</v>
      </c>
    </row>
    <row r="52" spans="1:23" ht="90.75" hidden="1" thickBot="1" x14ac:dyDescent="0.25">
      <c r="A52" s="7" t="e">
        <f t="shared" si="9"/>
        <v>#VALUE!</v>
      </c>
      <c r="B52" s="7">
        <v>2025</v>
      </c>
      <c r="C52" s="7" t="s">
        <v>226</v>
      </c>
      <c r="D52" s="18">
        <v>50348</v>
      </c>
      <c r="E52" s="18" t="s">
        <v>258</v>
      </c>
      <c r="F52" s="19" t="s">
        <v>106</v>
      </c>
      <c r="G52" s="53" t="s">
        <v>108</v>
      </c>
      <c r="H52" s="17" t="s">
        <v>249</v>
      </c>
      <c r="I52" s="21">
        <v>0</v>
      </c>
      <c r="J52" s="21">
        <v>0</v>
      </c>
      <c r="K52" s="36">
        <v>19127172.719999999</v>
      </c>
      <c r="L52" s="26">
        <v>18909828.82</v>
      </c>
      <c r="M52" s="26">
        <v>0</v>
      </c>
      <c r="N52" s="26">
        <f t="shared" si="7"/>
        <v>18909828.82</v>
      </c>
      <c r="O52" s="49">
        <v>11527742.16</v>
      </c>
      <c r="P52" s="49">
        <f t="shared" si="8"/>
        <v>7382086.6600000001</v>
      </c>
      <c r="Q52" s="50">
        <f t="shared" si="6"/>
        <v>0.60961642063135291</v>
      </c>
      <c r="R52" s="51">
        <v>13586</v>
      </c>
      <c r="S52" s="51" t="s">
        <v>240</v>
      </c>
      <c r="T52" s="17" t="s">
        <v>52</v>
      </c>
      <c r="U52" s="50">
        <v>0.4</v>
      </c>
      <c r="V52" s="50" t="s">
        <v>268</v>
      </c>
    </row>
    <row r="53" spans="1:23" ht="60.75" thickBot="1" x14ac:dyDescent="0.25">
      <c r="A53" s="7" t="e">
        <f t="shared" si="9"/>
        <v>#VALUE!</v>
      </c>
      <c r="B53" s="7">
        <v>2025</v>
      </c>
      <c r="C53" s="7" t="s">
        <v>221</v>
      </c>
      <c r="D53" s="18">
        <v>50349</v>
      </c>
      <c r="E53" s="18" t="s">
        <v>259</v>
      </c>
      <c r="F53" s="19" t="s">
        <v>150</v>
      </c>
      <c r="G53" s="53" t="s">
        <v>151</v>
      </c>
      <c r="H53" s="17" t="s">
        <v>249</v>
      </c>
      <c r="I53" s="21">
        <v>0</v>
      </c>
      <c r="J53" s="21">
        <v>0</v>
      </c>
      <c r="K53" s="36">
        <v>999222.11</v>
      </c>
      <c r="L53" s="26">
        <v>997358.38</v>
      </c>
      <c r="M53" s="26">
        <v>3700568.45</v>
      </c>
      <c r="N53" s="26">
        <f t="shared" si="7"/>
        <v>4697926.83</v>
      </c>
      <c r="O53" s="49">
        <v>4095835.8</v>
      </c>
      <c r="P53" s="49">
        <f t="shared" si="8"/>
        <v>602091.03000000026</v>
      </c>
      <c r="Q53" s="50">
        <f t="shared" si="6"/>
        <v>0.87183899371204121</v>
      </c>
      <c r="R53" s="51"/>
      <c r="S53" s="51"/>
      <c r="T53" s="17" t="s">
        <v>52</v>
      </c>
      <c r="U53" s="50">
        <v>0.84</v>
      </c>
      <c r="V53" s="50" t="s">
        <v>287</v>
      </c>
      <c r="W53" s="75">
        <v>25</v>
      </c>
    </row>
    <row r="54" spans="1:23" ht="75.75" hidden="1" thickBot="1" x14ac:dyDescent="0.25">
      <c r="A54" s="7" t="e">
        <f t="shared" si="9"/>
        <v>#VALUE!</v>
      </c>
      <c r="B54" s="7">
        <v>2025</v>
      </c>
      <c r="C54" s="7" t="s">
        <v>229</v>
      </c>
      <c r="D54" s="18">
        <v>40503</v>
      </c>
      <c r="E54" s="18" t="s">
        <v>258</v>
      </c>
      <c r="F54" s="61" t="s">
        <v>116</v>
      </c>
      <c r="G54" s="53" t="s">
        <v>117</v>
      </c>
      <c r="H54" s="17" t="s">
        <v>248</v>
      </c>
      <c r="I54" s="21">
        <v>0</v>
      </c>
      <c r="J54" s="21">
        <v>0</v>
      </c>
      <c r="K54" s="36">
        <v>2090634.27</v>
      </c>
      <c r="L54" s="26">
        <v>2089373.3</v>
      </c>
      <c r="M54" s="26">
        <v>0</v>
      </c>
      <c r="N54" s="26">
        <f t="shared" si="7"/>
        <v>2089373.3</v>
      </c>
      <c r="O54" s="49">
        <v>1887536.73</v>
      </c>
      <c r="P54" s="49">
        <f t="shared" si="8"/>
        <v>201836.57000000007</v>
      </c>
      <c r="Q54" s="50">
        <f t="shared" si="6"/>
        <v>0.90339851188870846</v>
      </c>
      <c r="R54" s="51">
        <v>5283.25</v>
      </c>
      <c r="S54" s="51" t="s">
        <v>240</v>
      </c>
      <c r="T54" s="17" t="s">
        <v>52</v>
      </c>
      <c r="U54" s="50">
        <v>1</v>
      </c>
      <c r="V54" s="50" t="s">
        <v>265</v>
      </c>
    </row>
    <row r="55" spans="1:23" ht="75.75" hidden="1" thickBot="1" x14ac:dyDescent="0.25">
      <c r="A55" s="7" t="e">
        <f t="shared" si="9"/>
        <v>#VALUE!</v>
      </c>
      <c r="B55" s="7">
        <v>2025</v>
      </c>
      <c r="C55" s="7" t="s">
        <v>229</v>
      </c>
      <c r="D55" s="18">
        <v>50345</v>
      </c>
      <c r="E55" s="18" t="s">
        <v>258</v>
      </c>
      <c r="F55" s="61" t="s">
        <v>88</v>
      </c>
      <c r="G55" s="53" t="s">
        <v>89</v>
      </c>
      <c r="H55" s="17" t="s">
        <v>84</v>
      </c>
      <c r="I55" s="21">
        <v>0</v>
      </c>
      <c r="J55" s="21">
        <v>0</v>
      </c>
      <c r="K55" s="52">
        <v>5097941.9000000004</v>
      </c>
      <c r="L55" s="26">
        <v>5072956.57</v>
      </c>
      <c r="M55" s="26">
        <v>0</v>
      </c>
      <c r="N55" s="26">
        <f t="shared" si="7"/>
        <v>5072956.57</v>
      </c>
      <c r="O55" s="49">
        <v>4537118.8499999996</v>
      </c>
      <c r="P55" s="49">
        <f t="shared" si="8"/>
        <v>535837.72000000067</v>
      </c>
      <c r="Q55" s="50">
        <f t="shared" si="6"/>
        <v>0.89437368276149054</v>
      </c>
      <c r="R55" s="51">
        <v>0</v>
      </c>
      <c r="S55" s="51" t="s">
        <v>240</v>
      </c>
      <c r="T55" s="17" t="s">
        <v>52</v>
      </c>
      <c r="U55" s="50">
        <v>1</v>
      </c>
      <c r="V55" s="50" t="s">
        <v>265</v>
      </c>
    </row>
    <row r="56" spans="1:23" ht="45.75" thickBot="1" x14ac:dyDescent="0.25">
      <c r="A56" s="7" t="e">
        <f t="shared" si="9"/>
        <v>#VALUE!</v>
      </c>
      <c r="B56" s="7">
        <v>2025</v>
      </c>
      <c r="C56" s="7" t="s">
        <v>218</v>
      </c>
      <c r="D56" s="18">
        <v>26378</v>
      </c>
      <c r="E56" s="18" t="s">
        <v>258</v>
      </c>
      <c r="F56" s="19" t="s">
        <v>71</v>
      </c>
      <c r="G56" s="53" t="s">
        <v>72</v>
      </c>
      <c r="H56" s="17" t="s">
        <v>73</v>
      </c>
      <c r="I56" s="21">
        <v>0</v>
      </c>
      <c r="J56" s="21">
        <v>0</v>
      </c>
      <c r="K56" s="52">
        <v>49999988.399999999</v>
      </c>
      <c r="L56" s="26">
        <v>49499951.259999998</v>
      </c>
      <c r="M56" s="26">
        <v>0</v>
      </c>
      <c r="N56" s="26">
        <f t="shared" si="7"/>
        <v>49499951.259999998</v>
      </c>
      <c r="O56" s="49">
        <v>49499951.259999998</v>
      </c>
      <c r="P56" s="49">
        <f t="shared" si="8"/>
        <v>0</v>
      </c>
      <c r="Q56" s="50">
        <f t="shared" si="6"/>
        <v>1</v>
      </c>
      <c r="R56" s="50"/>
      <c r="S56" s="50"/>
      <c r="T56" s="17" t="s">
        <v>52</v>
      </c>
      <c r="U56" s="50">
        <v>1</v>
      </c>
      <c r="V56" s="50" t="s">
        <v>287</v>
      </c>
      <c r="W56" s="5" t="s">
        <v>0</v>
      </c>
    </row>
    <row r="57" spans="1:23" ht="75.75" hidden="1" thickBot="1" x14ac:dyDescent="0.25">
      <c r="A57" s="7" t="e">
        <f t="shared" si="9"/>
        <v>#VALUE!</v>
      </c>
      <c r="B57" s="7">
        <v>2025</v>
      </c>
      <c r="C57" s="7" t="s">
        <v>223</v>
      </c>
      <c r="D57" s="18">
        <v>26379</v>
      </c>
      <c r="E57" s="18" t="s">
        <v>258</v>
      </c>
      <c r="F57" s="19" t="s">
        <v>98</v>
      </c>
      <c r="G57" s="53" t="s">
        <v>99</v>
      </c>
      <c r="H57" s="17" t="s">
        <v>100</v>
      </c>
      <c r="I57" s="21">
        <v>0</v>
      </c>
      <c r="J57" s="21">
        <v>0</v>
      </c>
      <c r="K57" s="36">
        <v>4999685.57</v>
      </c>
      <c r="L57" s="26">
        <v>4943024.32</v>
      </c>
      <c r="M57" s="26">
        <v>1730058.51</v>
      </c>
      <c r="N57" s="26">
        <f t="shared" si="7"/>
        <v>6673082.8300000001</v>
      </c>
      <c r="O57" s="49">
        <v>1792564.47</v>
      </c>
      <c r="P57" s="49">
        <f t="shared" si="8"/>
        <v>4880518.3600000003</v>
      </c>
      <c r="Q57" s="50">
        <f t="shared" si="6"/>
        <v>0.26862613812332969</v>
      </c>
      <c r="R57" s="50"/>
      <c r="S57" s="50"/>
      <c r="T57" s="17" t="s">
        <v>52</v>
      </c>
      <c r="U57" s="50">
        <v>0.80449999999999999</v>
      </c>
      <c r="V57" s="50" t="s">
        <v>268</v>
      </c>
    </row>
    <row r="58" spans="1:23" ht="120.75" thickBot="1" x14ac:dyDescent="0.25">
      <c r="A58" s="7" t="e">
        <f t="shared" si="9"/>
        <v>#VALUE!</v>
      </c>
      <c r="B58" s="7">
        <v>2025</v>
      </c>
      <c r="C58" s="7" t="s">
        <v>222</v>
      </c>
      <c r="D58" s="18">
        <v>26385</v>
      </c>
      <c r="E58" s="18" t="s">
        <v>259</v>
      </c>
      <c r="F58" s="19" t="s">
        <v>126</v>
      </c>
      <c r="G58" s="53" t="s">
        <v>136</v>
      </c>
      <c r="H58" s="17" t="s">
        <v>100</v>
      </c>
      <c r="I58" s="21">
        <v>0</v>
      </c>
      <c r="J58" s="21">
        <v>0</v>
      </c>
      <c r="K58" s="36">
        <v>1282820.8</v>
      </c>
      <c r="L58" s="26">
        <v>1282240</v>
      </c>
      <c r="M58" s="26">
        <v>0</v>
      </c>
      <c r="N58" s="26">
        <f t="shared" si="7"/>
        <v>1282240</v>
      </c>
      <c r="O58" s="49">
        <v>384672</v>
      </c>
      <c r="P58" s="49">
        <f t="shared" si="8"/>
        <v>897568</v>
      </c>
      <c r="Q58" s="50">
        <f t="shared" si="6"/>
        <v>0.3</v>
      </c>
      <c r="R58" s="50"/>
      <c r="S58" s="50"/>
      <c r="T58" s="17" t="s">
        <v>52</v>
      </c>
      <c r="U58" s="50">
        <v>0.28000000000000003</v>
      </c>
      <c r="V58" s="50" t="s">
        <v>287</v>
      </c>
    </row>
    <row r="59" spans="1:23" ht="60.75" hidden="1" thickBot="1" x14ac:dyDescent="0.25">
      <c r="A59" s="7" t="e">
        <f t="shared" si="9"/>
        <v>#VALUE!</v>
      </c>
      <c r="B59" s="7">
        <v>2025</v>
      </c>
      <c r="C59" s="7" t="s">
        <v>223</v>
      </c>
      <c r="D59" s="18">
        <v>26386</v>
      </c>
      <c r="E59" s="18" t="s">
        <v>259</v>
      </c>
      <c r="F59" s="19" t="s">
        <v>144</v>
      </c>
      <c r="G59" s="53" t="s">
        <v>152</v>
      </c>
      <c r="H59" s="17" t="s">
        <v>100</v>
      </c>
      <c r="I59" s="21">
        <v>0</v>
      </c>
      <c r="J59" s="21">
        <v>0</v>
      </c>
      <c r="K59" s="36">
        <v>1500000</v>
      </c>
      <c r="L59" s="26">
        <v>1498894.06</v>
      </c>
      <c r="M59" s="26">
        <v>0</v>
      </c>
      <c r="N59" s="26">
        <f t="shared" si="7"/>
        <v>1498894.06</v>
      </c>
      <c r="O59" s="49">
        <v>449668.22</v>
      </c>
      <c r="P59" s="49">
        <f t="shared" si="8"/>
        <v>1049225.8400000001</v>
      </c>
      <c r="Q59" s="50">
        <f t="shared" si="6"/>
        <v>0.30000000133431709</v>
      </c>
      <c r="R59" s="50"/>
      <c r="S59" s="50"/>
      <c r="T59" s="17" t="s">
        <v>52</v>
      </c>
      <c r="U59" s="50">
        <v>7.4200000000000002E-2</v>
      </c>
      <c r="V59" s="50" t="s">
        <v>268</v>
      </c>
    </row>
    <row r="60" spans="1:23" ht="90.75" hidden="1" thickBot="1" x14ac:dyDescent="0.25">
      <c r="A60" s="7" t="e">
        <f t="shared" si="9"/>
        <v>#VALUE!</v>
      </c>
      <c r="B60" s="7">
        <v>2025</v>
      </c>
      <c r="C60" s="7" t="s">
        <v>220</v>
      </c>
      <c r="D60" s="18">
        <v>26387</v>
      </c>
      <c r="E60" s="18" t="s">
        <v>259</v>
      </c>
      <c r="F60" s="19" t="s">
        <v>145</v>
      </c>
      <c r="G60" s="53" t="s">
        <v>153</v>
      </c>
      <c r="H60" s="17" t="s">
        <v>100</v>
      </c>
      <c r="I60" s="21">
        <v>0</v>
      </c>
      <c r="J60" s="21">
        <v>0</v>
      </c>
      <c r="K60" s="36">
        <v>1894404.56</v>
      </c>
      <c r="L60" s="26">
        <v>1890975.1</v>
      </c>
      <c r="M60" s="26">
        <v>0</v>
      </c>
      <c r="N60" s="26">
        <f t="shared" si="7"/>
        <v>1890975.1</v>
      </c>
      <c r="O60" s="49">
        <v>1616991.37</v>
      </c>
      <c r="P60" s="49">
        <f t="shared" si="8"/>
        <v>273983.73</v>
      </c>
      <c r="Q60" s="50">
        <f t="shared" si="6"/>
        <v>0.85510981609435266</v>
      </c>
      <c r="R60" s="50"/>
      <c r="S60" s="50"/>
      <c r="T60" s="17" t="s">
        <v>52</v>
      </c>
      <c r="U60" s="50">
        <v>0.6</v>
      </c>
      <c r="V60" s="50" t="s">
        <v>270</v>
      </c>
    </row>
    <row r="61" spans="1:23" ht="75.75" thickBot="1" x14ac:dyDescent="0.25">
      <c r="A61" s="7" t="e">
        <f t="shared" si="9"/>
        <v>#VALUE!</v>
      </c>
      <c r="B61" s="7">
        <v>2025</v>
      </c>
      <c r="C61" s="7" t="s">
        <v>225</v>
      </c>
      <c r="D61" s="18">
        <v>26390</v>
      </c>
      <c r="E61" s="18" t="s">
        <v>259</v>
      </c>
      <c r="F61" s="19" t="s">
        <v>160</v>
      </c>
      <c r="G61" s="53" t="s">
        <v>162</v>
      </c>
      <c r="H61" s="17" t="s">
        <v>100</v>
      </c>
      <c r="I61" s="21">
        <v>0</v>
      </c>
      <c r="J61" s="21">
        <v>0</v>
      </c>
      <c r="K61" s="36">
        <v>1499516.69</v>
      </c>
      <c r="L61" s="26">
        <v>1483372.86</v>
      </c>
      <c r="M61" s="26">
        <v>0</v>
      </c>
      <c r="N61" s="26">
        <f t="shared" si="7"/>
        <v>1483372.86</v>
      </c>
      <c r="O61" s="49">
        <v>1476339.63</v>
      </c>
      <c r="P61" s="49">
        <f t="shared" si="8"/>
        <v>7033.2300000002142</v>
      </c>
      <c r="Q61" s="50">
        <f t="shared" si="6"/>
        <v>0.99525862297359258</v>
      </c>
      <c r="R61" s="50"/>
      <c r="S61" s="50"/>
      <c r="T61" s="17" t="s">
        <v>52</v>
      </c>
      <c r="U61" s="50">
        <v>0.63219999999999998</v>
      </c>
      <c r="V61" s="50" t="s">
        <v>287</v>
      </c>
    </row>
    <row r="62" spans="1:23" ht="180.75" hidden="1" thickBot="1" x14ac:dyDescent="0.25">
      <c r="A62" s="7" t="e">
        <f t="shared" si="9"/>
        <v>#VALUE!</v>
      </c>
      <c r="B62" s="7">
        <v>2025</v>
      </c>
      <c r="C62" s="7" t="s">
        <v>226</v>
      </c>
      <c r="D62" s="18">
        <v>26392</v>
      </c>
      <c r="E62" s="18" t="s">
        <v>259</v>
      </c>
      <c r="F62" s="61" t="s">
        <v>164</v>
      </c>
      <c r="G62" s="53" t="s">
        <v>166</v>
      </c>
      <c r="H62" s="17" t="s">
        <v>100</v>
      </c>
      <c r="I62" s="21">
        <v>0</v>
      </c>
      <c r="J62" s="21">
        <v>0</v>
      </c>
      <c r="K62" s="21">
        <v>56989309.759999998</v>
      </c>
      <c r="L62" s="26">
        <v>56745533.640000001</v>
      </c>
      <c r="M62" s="26">
        <v>18612964.920000002</v>
      </c>
      <c r="N62" s="26">
        <f t="shared" si="7"/>
        <v>75358498.560000002</v>
      </c>
      <c r="O62" s="49">
        <v>17023660.09</v>
      </c>
      <c r="P62" s="49">
        <f t="shared" si="8"/>
        <v>58334838.469999999</v>
      </c>
      <c r="Q62" s="50">
        <f t="shared" si="6"/>
        <v>0.22590232575355598</v>
      </c>
      <c r="R62" s="51">
        <v>31386</v>
      </c>
      <c r="S62" s="50" t="s">
        <v>240</v>
      </c>
      <c r="T62" s="17" t="s">
        <v>52</v>
      </c>
      <c r="U62" s="50">
        <v>0</v>
      </c>
      <c r="V62" s="50" t="s">
        <v>269</v>
      </c>
    </row>
    <row r="63" spans="1:23" ht="75.75" hidden="1" thickBot="1" x14ac:dyDescent="0.25">
      <c r="A63" s="7">
        <v>1</v>
      </c>
      <c r="B63" s="7">
        <v>2024</v>
      </c>
      <c r="C63" s="7" t="s">
        <v>218</v>
      </c>
      <c r="D63" s="18">
        <v>26376</v>
      </c>
      <c r="E63" s="18"/>
      <c r="F63" s="19" t="s">
        <v>4</v>
      </c>
      <c r="G63" s="53" t="s">
        <v>5</v>
      </c>
      <c r="H63" s="57" t="s">
        <v>6</v>
      </c>
      <c r="I63" s="48">
        <v>0</v>
      </c>
      <c r="J63" s="48">
        <v>0</v>
      </c>
      <c r="K63" s="21">
        <v>5604988.1799999997</v>
      </c>
      <c r="L63" s="26">
        <v>5604988.1799999997</v>
      </c>
      <c r="M63" s="26">
        <v>0</v>
      </c>
      <c r="N63" s="26">
        <f t="shared" si="7"/>
        <v>5604988.1799999997</v>
      </c>
      <c r="O63" s="49">
        <v>5604988.1799999997</v>
      </c>
      <c r="P63" s="49">
        <f t="shared" si="8"/>
        <v>0</v>
      </c>
      <c r="Q63" s="50">
        <f>+O63/(K63+I63)</f>
        <v>1</v>
      </c>
      <c r="R63" s="51"/>
      <c r="S63" s="51"/>
      <c r="T63" s="17" t="s">
        <v>52</v>
      </c>
      <c r="U63" s="50">
        <v>1</v>
      </c>
    </row>
    <row r="64" spans="1:23" ht="90.75" hidden="1" thickBot="1" x14ac:dyDescent="0.25">
      <c r="A64" s="7">
        <f t="shared" ref="A64:A73" si="10">A63+1</f>
        <v>2</v>
      </c>
      <c r="B64" s="7">
        <v>2025</v>
      </c>
      <c r="C64" s="7" t="s">
        <v>219</v>
      </c>
      <c r="D64" s="18">
        <v>26377</v>
      </c>
      <c r="E64" s="18" t="s">
        <v>258</v>
      </c>
      <c r="F64" s="19" t="s">
        <v>69</v>
      </c>
      <c r="G64" s="53" t="s">
        <v>70</v>
      </c>
      <c r="H64" s="57" t="s">
        <v>6</v>
      </c>
      <c r="I64" s="48">
        <v>0</v>
      </c>
      <c r="J64" s="48">
        <v>0</v>
      </c>
      <c r="K64" s="52">
        <v>961224.08</v>
      </c>
      <c r="L64" s="26">
        <v>938653.92</v>
      </c>
      <c r="M64" s="26">
        <v>0</v>
      </c>
      <c r="N64" s="26">
        <f t="shared" si="7"/>
        <v>938653.92</v>
      </c>
      <c r="O64" s="49">
        <v>938653.92</v>
      </c>
      <c r="P64" s="49">
        <f t="shared" si="8"/>
        <v>0</v>
      </c>
      <c r="Q64" s="50">
        <f t="shared" ref="Q64:Q76" si="11">+O64/N64</f>
        <v>1</v>
      </c>
      <c r="R64" s="50"/>
      <c r="S64" s="50"/>
      <c r="T64" s="17" t="s">
        <v>52</v>
      </c>
      <c r="U64" s="50">
        <v>1</v>
      </c>
      <c r="V64" s="50" t="s">
        <v>270</v>
      </c>
    </row>
    <row r="65" spans="1:22" ht="56.25" customHeight="1" thickBot="1" x14ac:dyDescent="0.25">
      <c r="A65" s="7">
        <f t="shared" si="10"/>
        <v>3</v>
      </c>
      <c r="B65" s="7">
        <v>2025</v>
      </c>
      <c r="C65" s="7" t="s">
        <v>218</v>
      </c>
      <c r="D65" s="18">
        <v>26380</v>
      </c>
      <c r="E65" s="18" t="s">
        <v>258</v>
      </c>
      <c r="F65" s="19" t="s">
        <v>109</v>
      </c>
      <c r="G65" s="20" t="s">
        <v>118</v>
      </c>
      <c r="H65" s="17" t="s">
        <v>110</v>
      </c>
      <c r="I65" s="21">
        <v>0</v>
      </c>
      <c r="J65" s="21">
        <v>0</v>
      </c>
      <c r="K65" s="36">
        <v>9999048.3300000001</v>
      </c>
      <c r="L65" s="26">
        <v>9936334.0099999998</v>
      </c>
      <c r="M65" s="26">
        <v>0</v>
      </c>
      <c r="N65" s="26">
        <f t="shared" si="7"/>
        <v>9936334.0099999998</v>
      </c>
      <c r="O65" s="49">
        <v>9243377.2200000007</v>
      </c>
      <c r="P65" s="49">
        <f t="shared" si="8"/>
        <v>692956.78999999911</v>
      </c>
      <c r="Q65" s="50">
        <f t="shared" si="11"/>
        <v>0.93026031640013285</v>
      </c>
      <c r="R65" s="50"/>
      <c r="S65" s="50"/>
      <c r="T65" s="17" t="s">
        <v>52</v>
      </c>
      <c r="U65" s="50">
        <v>1</v>
      </c>
      <c r="V65" s="50" t="s">
        <v>287</v>
      </c>
    </row>
    <row r="66" spans="1:22" ht="60.75" thickBot="1" x14ac:dyDescent="0.25">
      <c r="A66" s="7">
        <f t="shared" si="10"/>
        <v>4</v>
      </c>
      <c r="B66" s="7">
        <v>2025</v>
      </c>
      <c r="C66" s="7" t="s">
        <v>218</v>
      </c>
      <c r="D66" s="18">
        <v>26381</v>
      </c>
      <c r="E66" s="18" t="s">
        <v>258</v>
      </c>
      <c r="F66" s="19" t="s">
        <v>119</v>
      </c>
      <c r="G66" s="20" t="s">
        <v>122</v>
      </c>
      <c r="H66" s="17" t="s">
        <v>110</v>
      </c>
      <c r="I66" s="21">
        <v>0</v>
      </c>
      <c r="J66" s="21">
        <v>0</v>
      </c>
      <c r="K66" s="36">
        <v>9999149.5600000005</v>
      </c>
      <c r="L66" s="26">
        <v>9899148.2799999993</v>
      </c>
      <c r="M66" s="26">
        <v>0</v>
      </c>
      <c r="N66" s="26">
        <f t="shared" si="7"/>
        <v>9899148.2799999993</v>
      </c>
      <c r="O66" s="49">
        <v>9899148.2799999993</v>
      </c>
      <c r="P66" s="49">
        <f t="shared" si="8"/>
        <v>0</v>
      </c>
      <c r="Q66" s="50">
        <f t="shared" si="11"/>
        <v>1</v>
      </c>
      <c r="R66" s="50"/>
      <c r="S66" s="50"/>
      <c r="T66" s="17" t="s">
        <v>52</v>
      </c>
      <c r="U66" s="50">
        <v>1</v>
      </c>
      <c r="V66" s="50" t="s">
        <v>287</v>
      </c>
    </row>
    <row r="67" spans="1:22" ht="57" hidden="1" customHeight="1" thickBot="1" x14ac:dyDescent="0.25">
      <c r="A67" s="7">
        <f t="shared" si="10"/>
        <v>5</v>
      </c>
      <c r="B67" s="7">
        <v>2025</v>
      </c>
      <c r="C67" s="7" t="s">
        <v>220</v>
      </c>
      <c r="D67" s="18">
        <v>26382</v>
      </c>
      <c r="E67" s="18" t="s">
        <v>258</v>
      </c>
      <c r="F67" s="19" t="s">
        <v>120</v>
      </c>
      <c r="G67" s="20" t="s">
        <v>135</v>
      </c>
      <c r="H67" s="17" t="s">
        <v>110</v>
      </c>
      <c r="I67" s="21">
        <v>0</v>
      </c>
      <c r="J67" s="21">
        <v>0</v>
      </c>
      <c r="K67" s="36">
        <v>9281336.6400000006</v>
      </c>
      <c r="L67" s="26">
        <v>9188452.25</v>
      </c>
      <c r="M67" s="26">
        <v>0</v>
      </c>
      <c r="N67" s="26">
        <f t="shared" si="7"/>
        <v>9188452.25</v>
      </c>
      <c r="O67" s="49">
        <v>5822954.7000000002</v>
      </c>
      <c r="P67" s="49">
        <f t="shared" si="8"/>
        <v>3365497.55</v>
      </c>
      <c r="Q67" s="50">
        <f t="shared" si="11"/>
        <v>0.63372530449837183</v>
      </c>
      <c r="R67" s="50"/>
      <c r="S67" s="50"/>
      <c r="T67" s="17" t="s">
        <v>52</v>
      </c>
      <c r="U67" s="50">
        <v>0.745</v>
      </c>
      <c r="V67" s="50" t="s">
        <v>272</v>
      </c>
    </row>
    <row r="68" spans="1:22" ht="75.75" hidden="1" thickBot="1" x14ac:dyDescent="0.25">
      <c r="A68" s="7">
        <f t="shared" si="10"/>
        <v>6</v>
      </c>
      <c r="B68" s="7">
        <v>2025</v>
      </c>
      <c r="C68" s="7" t="s">
        <v>221</v>
      </c>
      <c r="D68" s="18">
        <v>26383</v>
      </c>
      <c r="E68" s="18" t="s">
        <v>259</v>
      </c>
      <c r="F68" s="19" t="s">
        <v>121</v>
      </c>
      <c r="G68" s="20" t="s">
        <v>133</v>
      </c>
      <c r="H68" s="17" t="s">
        <v>110</v>
      </c>
      <c r="I68" s="21">
        <v>0</v>
      </c>
      <c r="J68" s="21">
        <v>0</v>
      </c>
      <c r="K68" s="36">
        <v>1190433.55</v>
      </c>
      <c r="L68" s="26">
        <v>1175652.9099999999</v>
      </c>
      <c r="M68" s="26">
        <v>0</v>
      </c>
      <c r="N68" s="26">
        <f t="shared" si="7"/>
        <v>1175652.9099999999</v>
      </c>
      <c r="O68" s="49">
        <v>1170078.69</v>
      </c>
      <c r="P68" s="49">
        <f t="shared" si="8"/>
        <v>5574.2199999999721</v>
      </c>
      <c r="Q68" s="50">
        <f t="shared" si="11"/>
        <v>0.9952586176135948</v>
      </c>
      <c r="R68" s="50"/>
      <c r="S68" s="50"/>
      <c r="T68" s="17" t="s">
        <v>52</v>
      </c>
      <c r="U68" s="50">
        <v>1</v>
      </c>
      <c r="V68" s="50" t="s">
        <v>269</v>
      </c>
    </row>
    <row r="69" spans="1:22" ht="92.25" customHeight="1" thickBot="1" x14ac:dyDescent="0.25">
      <c r="A69" s="7">
        <f t="shared" si="10"/>
        <v>7</v>
      </c>
      <c r="B69" s="7">
        <v>2025</v>
      </c>
      <c r="C69" s="7" t="s">
        <v>218</v>
      </c>
      <c r="D69" s="18">
        <v>26384</v>
      </c>
      <c r="E69" s="18" t="s">
        <v>258</v>
      </c>
      <c r="F69" s="19" t="s">
        <v>125</v>
      </c>
      <c r="G69" s="20" t="s">
        <v>134</v>
      </c>
      <c r="H69" s="17" t="s">
        <v>110</v>
      </c>
      <c r="I69" s="21">
        <v>0</v>
      </c>
      <c r="J69" s="21">
        <v>0</v>
      </c>
      <c r="K69" s="36">
        <v>29999412.77</v>
      </c>
      <c r="L69" s="26">
        <v>29694127.280000001</v>
      </c>
      <c r="M69" s="26">
        <v>0</v>
      </c>
      <c r="N69" s="26">
        <f t="shared" si="7"/>
        <v>29694127.280000001</v>
      </c>
      <c r="O69" s="49">
        <v>29694127.280000001</v>
      </c>
      <c r="P69" s="49">
        <f t="shared" si="8"/>
        <v>0</v>
      </c>
      <c r="Q69" s="50">
        <f t="shared" si="11"/>
        <v>1</v>
      </c>
      <c r="R69" s="50"/>
      <c r="S69" s="50"/>
      <c r="T69" s="17" t="s">
        <v>52</v>
      </c>
      <c r="U69" s="50">
        <v>1</v>
      </c>
      <c r="V69" s="50" t="s">
        <v>287</v>
      </c>
    </row>
    <row r="70" spans="1:22" ht="45.75" hidden="1" thickBot="1" x14ac:dyDescent="0.25">
      <c r="A70" s="7">
        <f t="shared" si="10"/>
        <v>8</v>
      </c>
      <c r="B70" s="7">
        <v>2025</v>
      </c>
      <c r="C70" s="7" t="s">
        <v>224</v>
      </c>
      <c r="D70" s="18">
        <v>26388</v>
      </c>
      <c r="E70" s="18" t="s">
        <v>259</v>
      </c>
      <c r="F70" s="19" t="s">
        <v>146</v>
      </c>
      <c r="G70" s="20" t="s">
        <v>154</v>
      </c>
      <c r="H70" s="17" t="s">
        <v>110</v>
      </c>
      <c r="I70" s="21">
        <v>0</v>
      </c>
      <c r="J70" s="21">
        <v>0</v>
      </c>
      <c r="K70" s="36">
        <v>679774.79</v>
      </c>
      <c r="L70" s="26">
        <v>668293.19999999995</v>
      </c>
      <c r="M70" s="26">
        <v>0</v>
      </c>
      <c r="N70" s="26">
        <f t="shared" si="7"/>
        <v>668293.19999999995</v>
      </c>
      <c r="O70" s="49">
        <v>200487.96</v>
      </c>
      <c r="P70" s="49">
        <f t="shared" si="8"/>
        <v>467805.24</v>
      </c>
      <c r="Q70" s="50">
        <f t="shared" si="11"/>
        <v>0.3</v>
      </c>
      <c r="R70" s="50"/>
      <c r="S70" s="50"/>
      <c r="T70" s="17" t="s">
        <v>52</v>
      </c>
      <c r="U70" s="50">
        <v>0.56569999999999998</v>
      </c>
      <c r="V70" s="50" t="s">
        <v>270</v>
      </c>
    </row>
    <row r="71" spans="1:22" ht="76.5" customHeight="1" thickBot="1" x14ac:dyDescent="0.25">
      <c r="A71" s="7">
        <f t="shared" si="10"/>
        <v>9</v>
      </c>
      <c r="B71" s="7">
        <v>2025</v>
      </c>
      <c r="C71" s="7" t="s">
        <v>219</v>
      </c>
      <c r="D71" s="18">
        <v>26389</v>
      </c>
      <c r="E71" s="18" t="s">
        <v>259</v>
      </c>
      <c r="F71" s="19" t="s">
        <v>147</v>
      </c>
      <c r="G71" s="20" t="s">
        <v>155</v>
      </c>
      <c r="H71" s="17" t="s">
        <v>110</v>
      </c>
      <c r="I71" s="21">
        <v>0</v>
      </c>
      <c r="J71" s="21">
        <v>0</v>
      </c>
      <c r="K71" s="36">
        <v>9987263.6300000008</v>
      </c>
      <c r="L71" s="26">
        <v>9887586.4900000002</v>
      </c>
      <c r="M71" s="26">
        <v>0</v>
      </c>
      <c r="N71" s="26">
        <f t="shared" si="7"/>
        <v>9887586.4900000002</v>
      </c>
      <c r="O71" s="49">
        <v>4039822.32</v>
      </c>
      <c r="P71" s="49">
        <f t="shared" si="8"/>
        <v>5847764.1699999999</v>
      </c>
      <c r="Q71" s="50">
        <f t="shared" si="11"/>
        <v>0.40857516888330142</v>
      </c>
      <c r="R71" s="50"/>
      <c r="S71" s="50"/>
      <c r="T71" s="17" t="s">
        <v>52</v>
      </c>
      <c r="U71" s="50">
        <v>0.1701</v>
      </c>
      <c r="V71" s="50" t="s">
        <v>287</v>
      </c>
    </row>
    <row r="72" spans="1:22" ht="60.75" thickBot="1" x14ac:dyDescent="0.25">
      <c r="A72" s="7">
        <f t="shared" si="10"/>
        <v>10</v>
      </c>
      <c r="B72" s="7">
        <v>2025</v>
      </c>
      <c r="C72" s="7" t="s">
        <v>218</v>
      </c>
      <c r="D72" s="18">
        <v>26391</v>
      </c>
      <c r="E72" s="18" t="s">
        <v>258</v>
      </c>
      <c r="F72" s="19" t="s">
        <v>161</v>
      </c>
      <c r="G72" s="20" t="s">
        <v>163</v>
      </c>
      <c r="H72" s="17" t="s">
        <v>110</v>
      </c>
      <c r="I72" s="21">
        <v>0</v>
      </c>
      <c r="J72" s="21">
        <v>0</v>
      </c>
      <c r="K72" s="21">
        <v>29999412.77</v>
      </c>
      <c r="L72" s="26">
        <v>29699389.350000001</v>
      </c>
      <c r="M72" s="26">
        <v>0</v>
      </c>
      <c r="N72" s="26">
        <f t="shared" si="7"/>
        <v>29699389.350000001</v>
      </c>
      <c r="O72" s="49">
        <v>14315465</v>
      </c>
      <c r="P72" s="49">
        <f t="shared" si="8"/>
        <v>15383924.350000001</v>
      </c>
      <c r="Q72" s="50">
        <f t="shared" si="11"/>
        <v>0.48201209901307279</v>
      </c>
      <c r="R72" s="50"/>
      <c r="S72" s="50"/>
      <c r="T72" s="17" t="s">
        <v>52</v>
      </c>
      <c r="U72" s="50">
        <v>0.64749999999999996</v>
      </c>
      <c r="V72" s="50" t="s">
        <v>287</v>
      </c>
    </row>
    <row r="73" spans="1:22" ht="60.75" hidden="1" thickBot="1" x14ac:dyDescent="0.25">
      <c r="A73" s="7">
        <f t="shared" si="10"/>
        <v>11</v>
      </c>
      <c r="B73" s="7">
        <v>2025</v>
      </c>
      <c r="C73" s="7" t="s">
        <v>227</v>
      </c>
      <c r="D73" s="18">
        <v>26393</v>
      </c>
      <c r="E73" s="18" t="s">
        <v>259</v>
      </c>
      <c r="F73" s="19" t="s">
        <v>165</v>
      </c>
      <c r="G73" s="20" t="s">
        <v>170</v>
      </c>
      <c r="H73" s="17" t="s">
        <v>110</v>
      </c>
      <c r="I73" s="21">
        <v>0</v>
      </c>
      <c r="J73" s="21">
        <v>0</v>
      </c>
      <c r="K73" s="21">
        <v>4299077.5999999996</v>
      </c>
      <c r="L73" s="26">
        <v>4285847.7</v>
      </c>
      <c r="M73" s="26">
        <v>0</v>
      </c>
      <c r="N73" s="26">
        <f t="shared" si="7"/>
        <v>4285847.7</v>
      </c>
      <c r="O73" s="49">
        <v>1285754.31</v>
      </c>
      <c r="P73" s="49">
        <f t="shared" si="8"/>
        <v>3000093.39</v>
      </c>
      <c r="Q73" s="50">
        <f t="shared" si="11"/>
        <v>0.3</v>
      </c>
      <c r="R73" s="51"/>
      <c r="S73" s="50"/>
      <c r="T73" s="17" t="s">
        <v>52</v>
      </c>
      <c r="U73" s="50">
        <v>0</v>
      </c>
      <c r="V73" s="50" t="s">
        <v>268</v>
      </c>
    </row>
    <row r="74" spans="1:22" ht="75.75" hidden="1" thickBot="1" x14ac:dyDescent="0.25">
      <c r="A74" s="7"/>
      <c r="B74" s="7">
        <v>2025</v>
      </c>
      <c r="C74" s="7" t="s">
        <v>228</v>
      </c>
      <c r="D74" s="18">
        <v>26394</v>
      </c>
      <c r="E74" s="18" t="s">
        <v>259</v>
      </c>
      <c r="F74" s="19" t="s">
        <v>173</v>
      </c>
      <c r="G74" s="20" t="s">
        <v>175</v>
      </c>
      <c r="H74" s="17" t="s">
        <v>110</v>
      </c>
      <c r="I74" s="21">
        <v>0</v>
      </c>
      <c r="J74" s="21">
        <v>0</v>
      </c>
      <c r="K74" s="21">
        <v>1289890.4099999999</v>
      </c>
      <c r="L74" s="26">
        <v>1275411.82</v>
      </c>
      <c r="M74" s="26">
        <v>0</v>
      </c>
      <c r="N74" s="26">
        <f t="shared" si="7"/>
        <v>1275411.82</v>
      </c>
      <c r="O74" s="49">
        <v>0</v>
      </c>
      <c r="P74" s="49">
        <f t="shared" si="8"/>
        <v>1275411.82</v>
      </c>
      <c r="Q74" s="50">
        <f t="shared" si="11"/>
        <v>0</v>
      </c>
      <c r="R74" s="51"/>
      <c r="S74" s="51"/>
      <c r="T74" s="17" t="s">
        <v>52</v>
      </c>
      <c r="U74" s="50"/>
      <c r="V74" s="50" t="s">
        <v>274</v>
      </c>
    </row>
    <row r="75" spans="1:22" ht="90.75" hidden="1" thickBot="1" x14ac:dyDescent="0.25">
      <c r="A75" s="7"/>
      <c r="B75" s="7">
        <v>2025</v>
      </c>
      <c r="C75" s="7" t="s">
        <v>256</v>
      </c>
      <c r="D75" s="18">
        <v>26395</v>
      </c>
      <c r="E75" s="18" t="s">
        <v>259</v>
      </c>
      <c r="F75" s="19" t="s">
        <v>174</v>
      </c>
      <c r="G75" s="20" t="s">
        <v>67</v>
      </c>
      <c r="H75" s="17" t="s">
        <v>110</v>
      </c>
      <c r="I75" s="21">
        <v>0</v>
      </c>
      <c r="J75" s="21">
        <v>0</v>
      </c>
      <c r="K75" s="21">
        <v>6699999.9900000002</v>
      </c>
      <c r="L75" s="26">
        <v>6626461.8600000003</v>
      </c>
      <c r="M75" s="26">
        <v>0</v>
      </c>
      <c r="N75" s="26">
        <f t="shared" si="7"/>
        <v>6626461.8600000003</v>
      </c>
      <c r="O75" s="49">
        <v>0</v>
      </c>
      <c r="P75" s="49">
        <f t="shared" si="8"/>
        <v>6626461.8600000003</v>
      </c>
      <c r="Q75" s="50">
        <f t="shared" si="11"/>
        <v>0</v>
      </c>
      <c r="R75" s="51"/>
      <c r="S75" s="51"/>
      <c r="T75" s="17" t="s">
        <v>52</v>
      </c>
      <c r="U75" s="50"/>
      <c r="V75" s="50" t="s">
        <v>275</v>
      </c>
    </row>
    <row r="76" spans="1:22" ht="60.75" hidden="1" thickBot="1" x14ac:dyDescent="0.25">
      <c r="A76" s="7"/>
      <c r="B76" s="7">
        <v>2025</v>
      </c>
      <c r="C76" s="7" t="s">
        <v>223</v>
      </c>
      <c r="D76" s="18">
        <v>40505</v>
      </c>
      <c r="E76" s="18" t="s">
        <v>259</v>
      </c>
      <c r="F76" s="19" t="s">
        <v>149</v>
      </c>
      <c r="G76" s="20" t="s">
        <v>156</v>
      </c>
      <c r="H76" s="17" t="s">
        <v>254</v>
      </c>
      <c r="I76" s="21">
        <v>0</v>
      </c>
      <c r="J76" s="21">
        <f>2313700.74-1500000.74</f>
        <v>813700.00000000023</v>
      </c>
      <c r="K76" s="36">
        <v>1500000.74</v>
      </c>
      <c r="L76" s="26">
        <v>2311868.34</v>
      </c>
      <c r="M76" s="26">
        <v>0</v>
      </c>
      <c r="N76" s="26">
        <f t="shared" si="7"/>
        <v>2311868.34</v>
      </c>
      <c r="O76" s="49">
        <v>1730759.13</v>
      </c>
      <c r="P76" s="49">
        <f t="shared" si="8"/>
        <v>581109.21</v>
      </c>
      <c r="Q76" s="50">
        <f t="shared" si="11"/>
        <v>0.74864087199706186</v>
      </c>
      <c r="R76" s="51"/>
      <c r="S76" s="51"/>
      <c r="T76" s="17" t="s">
        <v>157</v>
      </c>
      <c r="U76" s="50">
        <v>0.55000000000000004</v>
      </c>
      <c r="V76" s="50" t="s">
        <v>268</v>
      </c>
    </row>
    <row r="77" spans="1:22" ht="15.75" thickBot="1" x14ac:dyDescent="0.25">
      <c r="R77" s="47"/>
      <c r="S77" s="47"/>
    </row>
  </sheetData>
  <autoFilter ref="A6:V76" xr:uid="{B62CD074-07EC-4522-844C-EA1E12E77BC8}">
    <filterColumn colId="21">
      <filters>
        <filter val="DIVERSAS JUNTAS AUXILARES"/>
      </filters>
    </filterColumn>
  </autoFilter>
  <sortState xmlns:xlrd2="http://schemas.microsoft.com/office/spreadsheetml/2017/richdata2" ref="A7:U63">
    <sortCondition ref="D7:D63"/>
  </sortState>
  <pageMargins left="0.43307086614173229" right="3.937007874015748E-2" top="0.35433070866141736" bottom="0.35433070866141736" header="0.31496062992125984" footer="0.31496062992125984"/>
  <pageSetup scale="23" fitToHeight="2" orientation="portrait" r:id="rId1"/>
  <rowBreaks count="3" manualBreakCount="3">
    <brk id="30" max="22" man="1"/>
    <brk id="45" max="22" man="1"/>
    <brk id="71" max="2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407DD-49CD-4C56-9BF7-2A3B5E5D2C1C}">
  <sheetPr codeName="Hoja4"/>
  <dimension ref="A1:M25"/>
  <sheetViews>
    <sheetView view="pageBreakPreview" zoomScale="50" zoomScaleNormal="100" zoomScaleSheetLayoutView="50" workbookViewId="0">
      <pane ySplit="6" topLeftCell="A7" activePane="bottomLeft" state="frozen"/>
      <selection pane="bottomLeft" activeCell="I16" sqref="I16"/>
    </sheetView>
  </sheetViews>
  <sheetFormatPr baseColWidth="10" defaultColWidth="11.42578125" defaultRowHeight="14.25" x14ac:dyDescent="0.2"/>
  <cols>
    <col min="1" max="1" width="4.7109375" style="10" customWidth="1"/>
    <col min="2" max="2" width="30.5703125" style="10" customWidth="1"/>
    <col min="3" max="3" width="102.5703125" style="8" customWidth="1"/>
    <col min="4" max="4" width="37.28515625" style="2" customWidth="1"/>
    <col min="5" max="5" width="23" style="8" customWidth="1"/>
    <col min="6" max="6" width="27.42578125" style="5" customWidth="1"/>
    <col min="7" max="7" width="25.28515625" style="5" customWidth="1"/>
    <col min="8" max="8" width="27.140625" style="5" customWidth="1"/>
    <col min="9" max="9" width="24" style="5" bestFit="1" customWidth="1"/>
    <col min="10" max="10" width="24" style="5" customWidth="1"/>
    <col min="11" max="11" width="14.5703125" style="10" customWidth="1"/>
    <col min="12" max="12" width="17.28515625" style="5" customWidth="1"/>
    <col min="13" max="13" width="16.42578125" style="5" customWidth="1"/>
    <col min="14" max="16384" width="11.42578125" style="5"/>
  </cols>
  <sheetData>
    <row r="1" spans="1:13" x14ac:dyDescent="0.2">
      <c r="A1" s="9"/>
      <c r="B1" s="9"/>
      <c r="C1" s="1"/>
      <c r="E1" s="3"/>
      <c r="F1" s="4"/>
      <c r="G1" s="4"/>
      <c r="H1" s="4"/>
      <c r="I1" s="4"/>
      <c r="J1" s="4"/>
      <c r="K1" s="9"/>
    </row>
    <row r="2" spans="1:13" x14ac:dyDescent="0.2">
      <c r="A2" s="9"/>
      <c r="B2" s="9"/>
      <c r="C2" s="1"/>
      <c r="E2" s="3"/>
      <c r="F2" s="4"/>
      <c r="G2" s="4"/>
      <c r="H2" s="4"/>
      <c r="I2" s="4"/>
      <c r="J2" s="4"/>
      <c r="K2" s="9"/>
    </row>
    <row r="3" spans="1:13" x14ac:dyDescent="0.2">
      <c r="A3" s="9"/>
      <c r="B3" s="9"/>
      <c r="C3" s="1"/>
      <c r="E3" s="3"/>
      <c r="F3" s="4"/>
      <c r="G3" s="4"/>
      <c r="H3" s="4"/>
      <c r="I3" s="4"/>
      <c r="J3" s="4"/>
      <c r="K3" s="9"/>
    </row>
    <row r="4" spans="1:13" ht="15" x14ac:dyDescent="0.2">
      <c r="A4" s="9"/>
      <c r="B4" s="9"/>
      <c r="C4" s="1"/>
      <c r="E4" s="3"/>
      <c r="F4" s="4"/>
      <c r="G4" s="4"/>
      <c r="H4" s="4"/>
      <c r="I4" s="4"/>
      <c r="J4" s="4"/>
      <c r="K4" s="12" t="s">
        <v>217</v>
      </c>
    </row>
    <row r="5" spans="1:13" ht="48.75" customHeight="1" x14ac:dyDescent="0.2">
      <c r="A5" s="6" t="s">
        <v>0</v>
      </c>
      <c r="B5" s="69" t="s">
        <v>62</v>
      </c>
      <c r="C5" s="69" t="s">
        <v>46</v>
      </c>
      <c r="D5" s="69" t="s">
        <v>1</v>
      </c>
      <c r="E5" s="6" t="s">
        <v>2</v>
      </c>
      <c r="F5" s="71" t="s">
        <v>51</v>
      </c>
      <c r="G5" s="69" t="s">
        <v>176</v>
      </c>
      <c r="H5" s="69" t="s">
        <v>77</v>
      </c>
      <c r="I5" s="69" t="s">
        <v>3</v>
      </c>
      <c r="J5" s="69" t="s">
        <v>48</v>
      </c>
      <c r="K5" s="69" t="s">
        <v>47</v>
      </c>
      <c r="L5" s="69" t="s">
        <v>63</v>
      </c>
    </row>
    <row r="6" spans="1:13" ht="45.75" customHeight="1" thickBot="1" x14ac:dyDescent="0.25">
      <c r="A6" s="13"/>
      <c r="B6" s="70"/>
      <c r="C6" s="70"/>
      <c r="D6" s="70"/>
      <c r="E6" s="13"/>
      <c r="F6" s="72"/>
      <c r="G6" s="70"/>
      <c r="H6" s="70"/>
      <c r="I6" s="70"/>
      <c r="J6" s="70"/>
      <c r="K6" s="70"/>
      <c r="L6" s="70"/>
    </row>
    <row r="7" spans="1:13" ht="60.75" thickBot="1" x14ac:dyDescent="0.25">
      <c r="A7" s="7">
        <v>1</v>
      </c>
      <c r="B7" s="18" t="s">
        <v>177</v>
      </c>
      <c r="C7" s="19" t="s">
        <v>178</v>
      </c>
      <c r="D7" s="20" t="s">
        <v>179</v>
      </c>
      <c r="E7" s="17" t="s">
        <v>68</v>
      </c>
      <c r="F7" s="26">
        <v>219650000</v>
      </c>
      <c r="G7" s="26">
        <v>0</v>
      </c>
      <c r="H7" s="26">
        <v>219650000</v>
      </c>
      <c r="I7" s="22">
        <v>63769354.829999998</v>
      </c>
      <c r="J7" s="22">
        <f>+H7-I7</f>
        <v>155880645.17000002</v>
      </c>
      <c r="K7" s="40">
        <f>((+I7*100)/H7)/100</f>
        <v>0.29032258060550875</v>
      </c>
      <c r="L7" s="17" t="s">
        <v>180</v>
      </c>
      <c r="M7" s="37"/>
    </row>
    <row r="8" spans="1:13" ht="30.75" thickBot="1" x14ac:dyDescent="0.25">
      <c r="A8" s="7">
        <v>2</v>
      </c>
      <c r="B8" s="41" t="s">
        <v>181</v>
      </c>
      <c r="C8" s="19" t="s">
        <v>182</v>
      </c>
      <c r="D8" s="20" t="s">
        <v>183</v>
      </c>
      <c r="E8" s="17" t="s">
        <v>184</v>
      </c>
      <c r="F8" s="26">
        <v>8120000</v>
      </c>
      <c r="G8" s="26">
        <v>0</v>
      </c>
      <c r="H8" s="26">
        <v>8120000</v>
      </c>
      <c r="I8" s="22">
        <v>2665100</v>
      </c>
      <c r="J8" s="22">
        <f t="shared" ref="J8:J18" si="0">+H8-I8</f>
        <v>5454900</v>
      </c>
      <c r="K8" s="40">
        <f t="shared" ref="K8:K18" si="1">((+I8*100)/H8)/100</f>
        <v>0.32821428571428568</v>
      </c>
      <c r="L8" s="17" t="s">
        <v>180</v>
      </c>
      <c r="M8" s="37"/>
    </row>
    <row r="9" spans="1:13" ht="30.75" thickBot="1" x14ac:dyDescent="0.25">
      <c r="A9" s="7">
        <f t="shared" ref="A9:A10" si="2">A8+1</f>
        <v>3</v>
      </c>
      <c r="B9" s="41" t="s">
        <v>185</v>
      </c>
      <c r="C9" s="19" t="s">
        <v>186</v>
      </c>
      <c r="D9" s="20" t="s">
        <v>187</v>
      </c>
      <c r="E9" s="17" t="s">
        <v>184</v>
      </c>
      <c r="F9" s="26">
        <v>43175484</v>
      </c>
      <c r="G9" s="26">
        <v>0</v>
      </c>
      <c r="H9" s="26">
        <v>43175484</v>
      </c>
      <c r="I9" s="22">
        <v>11142060</v>
      </c>
      <c r="J9" s="22">
        <f t="shared" si="0"/>
        <v>32033424</v>
      </c>
      <c r="K9" s="40">
        <f t="shared" si="1"/>
        <v>0.25806450716337076</v>
      </c>
      <c r="L9" s="17" t="s">
        <v>180</v>
      </c>
      <c r="M9" s="37"/>
    </row>
    <row r="10" spans="1:13" ht="30.75" thickBot="1" x14ac:dyDescent="0.25">
      <c r="A10" s="7">
        <f t="shared" si="2"/>
        <v>4</v>
      </c>
      <c r="B10" s="41" t="s">
        <v>188</v>
      </c>
      <c r="C10" s="19" t="s">
        <v>189</v>
      </c>
      <c r="D10" s="20" t="s">
        <v>190</v>
      </c>
      <c r="E10" s="17" t="s">
        <v>184</v>
      </c>
      <c r="F10" s="26">
        <v>3598088</v>
      </c>
      <c r="G10" s="26">
        <v>0</v>
      </c>
      <c r="H10" s="26">
        <v>3598088</v>
      </c>
      <c r="I10" s="22">
        <v>3598088</v>
      </c>
      <c r="J10" s="22">
        <f t="shared" si="0"/>
        <v>0</v>
      </c>
      <c r="K10" s="40">
        <f t="shared" si="1"/>
        <v>1</v>
      </c>
      <c r="L10" s="17"/>
      <c r="M10" s="37"/>
    </row>
    <row r="11" spans="1:13" ht="30.75" thickBot="1" x14ac:dyDescent="0.25">
      <c r="A11" s="7">
        <f>A10+1</f>
        <v>5</v>
      </c>
      <c r="B11" s="18" t="s">
        <v>191</v>
      </c>
      <c r="C11" s="19" t="s">
        <v>192</v>
      </c>
      <c r="D11" s="20" t="s">
        <v>193</v>
      </c>
      <c r="E11" s="17" t="s">
        <v>184</v>
      </c>
      <c r="F11" s="26">
        <v>4227273</v>
      </c>
      <c r="G11" s="26">
        <v>0</v>
      </c>
      <c r="H11" s="26">
        <v>4218522.3099999996</v>
      </c>
      <c r="I11" s="22">
        <v>4218522.3099999996</v>
      </c>
      <c r="J11" s="22">
        <f t="shared" si="0"/>
        <v>0</v>
      </c>
      <c r="K11" s="40">
        <f t="shared" si="1"/>
        <v>1</v>
      </c>
      <c r="L11" s="17"/>
      <c r="M11" s="42"/>
    </row>
    <row r="12" spans="1:13" ht="45.75" thickBot="1" x14ac:dyDescent="0.25">
      <c r="A12" s="7">
        <f t="shared" ref="A12" si="3">A11+1</f>
        <v>6</v>
      </c>
      <c r="B12" s="18" t="s">
        <v>194</v>
      </c>
      <c r="C12" s="19" t="s">
        <v>195</v>
      </c>
      <c r="D12" s="20" t="s">
        <v>179</v>
      </c>
      <c r="E12" s="17" t="s">
        <v>184</v>
      </c>
      <c r="F12" s="26">
        <v>4480000</v>
      </c>
      <c r="G12" s="26">
        <v>0</v>
      </c>
      <c r="H12" s="26">
        <v>4460988.8</v>
      </c>
      <c r="I12" s="22">
        <v>4460988.8</v>
      </c>
      <c r="J12" s="22">
        <f t="shared" si="0"/>
        <v>0</v>
      </c>
      <c r="K12" s="40">
        <f t="shared" si="1"/>
        <v>1</v>
      </c>
      <c r="L12" s="17"/>
      <c r="M12" s="42"/>
    </row>
    <row r="13" spans="1:13" ht="45.75" thickBot="1" x14ac:dyDescent="0.25">
      <c r="A13" s="7">
        <v>7</v>
      </c>
      <c r="B13" s="41" t="s">
        <v>196</v>
      </c>
      <c r="C13" s="19" t="s">
        <v>197</v>
      </c>
      <c r="D13" s="20" t="s">
        <v>198</v>
      </c>
      <c r="E13" s="17" t="s">
        <v>184</v>
      </c>
      <c r="F13" s="26">
        <v>7000000</v>
      </c>
      <c r="G13" s="26">
        <v>0</v>
      </c>
      <c r="H13" s="26">
        <v>6999956.8899999997</v>
      </c>
      <c r="I13" s="22">
        <v>6999956.8899999997</v>
      </c>
      <c r="J13" s="22">
        <f t="shared" si="0"/>
        <v>0</v>
      </c>
      <c r="K13" s="40">
        <f t="shared" si="1"/>
        <v>1</v>
      </c>
      <c r="L13" s="17"/>
      <c r="M13" s="37"/>
    </row>
    <row r="14" spans="1:13" ht="45" customHeight="1" thickBot="1" x14ac:dyDescent="0.25">
      <c r="A14" s="7">
        <v>8</v>
      </c>
      <c r="B14" s="41" t="s">
        <v>199</v>
      </c>
      <c r="C14" s="19" t="s">
        <v>200</v>
      </c>
      <c r="D14" s="43" t="s">
        <v>201</v>
      </c>
      <c r="E14" s="17" t="s">
        <v>184</v>
      </c>
      <c r="F14" s="26">
        <v>2783251.17</v>
      </c>
      <c r="G14" s="26"/>
      <c r="H14" s="26">
        <v>2783246.58</v>
      </c>
      <c r="I14" s="22">
        <v>2783246.58</v>
      </c>
      <c r="J14" s="22">
        <f t="shared" si="0"/>
        <v>0</v>
      </c>
      <c r="K14" s="40">
        <f t="shared" si="1"/>
        <v>1</v>
      </c>
      <c r="L14" s="17"/>
      <c r="M14" s="37"/>
    </row>
    <row r="15" spans="1:13" ht="45.75" thickBot="1" x14ac:dyDescent="0.25">
      <c r="A15" s="7">
        <v>9</v>
      </c>
      <c r="B15" s="41" t="s">
        <v>202</v>
      </c>
      <c r="C15" s="19" t="s">
        <v>203</v>
      </c>
      <c r="D15" s="20" t="s">
        <v>204</v>
      </c>
      <c r="E15" s="17" t="s">
        <v>100</v>
      </c>
      <c r="F15" s="26">
        <v>1262198.8999999999</v>
      </c>
      <c r="G15" s="26"/>
      <c r="H15" s="26">
        <v>1262198.8999999999</v>
      </c>
      <c r="I15" s="22">
        <v>1262198.8999999999</v>
      </c>
      <c r="J15" s="22">
        <f t="shared" si="0"/>
        <v>0</v>
      </c>
      <c r="K15" s="40">
        <f t="shared" si="1"/>
        <v>1</v>
      </c>
      <c r="L15" s="17"/>
      <c r="M15" s="37"/>
    </row>
    <row r="16" spans="1:13" ht="45.75" thickBot="1" x14ac:dyDescent="0.25">
      <c r="A16" s="7">
        <v>10</v>
      </c>
      <c r="B16" s="41" t="s">
        <v>205</v>
      </c>
      <c r="C16" s="19" t="s">
        <v>206</v>
      </c>
      <c r="D16" s="20" t="s">
        <v>207</v>
      </c>
      <c r="E16" s="17" t="s">
        <v>100</v>
      </c>
      <c r="F16" s="26">
        <v>3149989.28</v>
      </c>
      <c r="G16" s="26"/>
      <c r="H16" s="26">
        <v>3149989.28</v>
      </c>
      <c r="I16" s="22">
        <v>3149989.28</v>
      </c>
      <c r="J16" s="22">
        <f t="shared" si="0"/>
        <v>0</v>
      </c>
      <c r="K16" s="40">
        <f t="shared" si="1"/>
        <v>1</v>
      </c>
      <c r="L16" s="32"/>
      <c r="M16" s="37" t="s">
        <v>216</v>
      </c>
    </row>
    <row r="17" spans="1:13" ht="45.75" thickBot="1" x14ac:dyDescent="0.25">
      <c r="A17" s="7">
        <v>11</v>
      </c>
      <c r="B17" s="41" t="s">
        <v>208</v>
      </c>
      <c r="C17" s="19" t="s">
        <v>209</v>
      </c>
      <c r="D17" s="20" t="s">
        <v>210</v>
      </c>
      <c r="E17" s="17" t="s">
        <v>184</v>
      </c>
      <c r="F17" s="26">
        <v>10000000</v>
      </c>
      <c r="G17" s="26"/>
      <c r="H17" s="26">
        <v>9999925</v>
      </c>
      <c r="I17" s="22">
        <v>9999925</v>
      </c>
      <c r="J17" s="22">
        <f t="shared" si="0"/>
        <v>0</v>
      </c>
      <c r="K17" s="40">
        <f t="shared" si="1"/>
        <v>1</v>
      </c>
      <c r="L17" s="32"/>
      <c r="M17" s="37" t="s">
        <v>65</v>
      </c>
    </row>
    <row r="18" spans="1:13" ht="45.75" thickBot="1" x14ac:dyDescent="0.25">
      <c r="A18" s="7">
        <v>12</v>
      </c>
      <c r="B18" s="41" t="s">
        <v>211</v>
      </c>
      <c r="C18" s="19" t="s">
        <v>212</v>
      </c>
      <c r="D18" s="20" t="s">
        <v>213</v>
      </c>
      <c r="E18" s="17" t="s">
        <v>100</v>
      </c>
      <c r="F18" s="26">
        <v>3100000</v>
      </c>
      <c r="G18" s="26"/>
      <c r="H18" s="26">
        <v>3099868</v>
      </c>
      <c r="I18" s="22">
        <v>1284468</v>
      </c>
      <c r="J18" s="22">
        <f t="shared" si="0"/>
        <v>1815400</v>
      </c>
      <c r="K18" s="40">
        <f t="shared" si="1"/>
        <v>0.41436215993713282</v>
      </c>
      <c r="L18" s="32"/>
      <c r="M18" s="37" t="s">
        <v>215</v>
      </c>
    </row>
    <row r="19" spans="1:13" ht="33.75" customHeight="1" thickBot="1" x14ac:dyDescent="0.25">
      <c r="A19" s="28"/>
      <c r="B19" s="29"/>
      <c r="C19" s="30"/>
      <c r="D19" s="73" t="s">
        <v>214</v>
      </c>
      <c r="E19" s="74"/>
      <c r="F19" s="16">
        <f>SUM(F7:F18)</f>
        <v>310546284.34999996</v>
      </c>
      <c r="G19" s="16">
        <f>SUM(G7:G15)</f>
        <v>0</v>
      </c>
      <c r="H19" s="16">
        <f>SUM(H7:H17)</f>
        <v>307418399.75999993</v>
      </c>
      <c r="I19" s="16">
        <f>SUM(I7:I18)</f>
        <v>115333898.59</v>
      </c>
      <c r="J19" s="16">
        <f>SUM(J7:J18)</f>
        <v>195184369.17000002</v>
      </c>
      <c r="K19" s="23"/>
      <c r="L19" s="32"/>
      <c r="M19" s="27"/>
    </row>
    <row r="20" spans="1:13" ht="17.25" thickBot="1" x14ac:dyDescent="0.25">
      <c r="A20" s="28"/>
      <c r="B20" s="29"/>
      <c r="C20" s="30"/>
      <c r="D20" s="31"/>
      <c r="E20" s="32"/>
      <c r="F20" s="26"/>
      <c r="G20" s="26"/>
      <c r="H20" s="26"/>
      <c r="I20" s="22"/>
      <c r="J20" s="22"/>
      <c r="K20" s="23"/>
      <c r="L20" s="32"/>
      <c r="M20" s="27"/>
    </row>
    <row r="21" spans="1:13" ht="33" customHeight="1" thickBot="1" x14ac:dyDescent="0.25">
      <c r="B21" s="24"/>
      <c r="C21" s="25"/>
      <c r="D21" s="33" t="s">
        <v>61</v>
      </c>
      <c r="E21" s="25"/>
      <c r="F21" s="16" t="e">
        <f>F19+#REF!</f>
        <v>#REF!</v>
      </c>
      <c r="G21" s="16" t="e">
        <f>G19+#REF!</f>
        <v>#REF!</v>
      </c>
      <c r="H21" s="16" t="e">
        <f>H19+#REF!</f>
        <v>#REF!</v>
      </c>
      <c r="I21" s="16" t="e">
        <f>I19+#REF!</f>
        <v>#REF!</v>
      </c>
      <c r="J21" s="16" t="e">
        <f>J19+#REF!</f>
        <v>#REF!</v>
      </c>
      <c r="K21" s="11"/>
      <c r="L21" s="25"/>
    </row>
    <row r="23" spans="1:13" x14ac:dyDescent="0.2">
      <c r="F23" s="35"/>
    </row>
    <row r="24" spans="1:13" x14ac:dyDescent="0.2">
      <c r="F24" s="35"/>
    </row>
    <row r="25" spans="1:13" ht="15" x14ac:dyDescent="0.2">
      <c r="B25" s="34"/>
      <c r="C25" s="25"/>
      <c r="F25" s="35"/>
    </row>
  </sheetData>
  <protectedRanges>
    <protectedRange sqref="I14" name="Rango28"/>
  </protectedRanges>
  <mergeCells count="11">
    <mergeCell ref="I5:I6"/>
    <mergeCell ref="J5:J6"/>
    <mergeCell ref="K5:K6"/>
    <mergeCell ref="L5:L6"/>
    <mergeCell ref="D19:E19"/>
    <mergeCell ref="H5:H6"/>
    <mergeCell ref="B5:B6"/>
    <mergeCell ref="C5:C6"/>
    <mergeCell ref="D5:D6"/>
    <mergeCell ref="F5:F6"/>
    <mergeCell ref="G5:G6"/>
  </mergeCells>
  <pageMargins left="0.43307086614173229" right="3.937007874015748E-2" top="0.35433070866141736" bottom="0.35433070866141736" header="0.31496062992125984" footer="0.31496062992125984"/>
  <pageSetup scale="35" fitToHeight="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Hoja1</vt:lpstr>
      <vt:lpstr>Hoja2</vt:lpstr>
      <vt:lpstr>OBRA PUBLICA</vt:lpstr>
      <vt:lpstr>SERVICIOS</vt:lpstr>
      <vt:lpstr>'OBRA PUBLICA'!Área_de_impresión</vt:lpstr>
      <vt:lpstr>SERVICIOS!Área_de_impresión</vt:lpstr>
      <vt:lpstr>'OBRA PUBLICA'!Títulos_a_imprimir</vt:lpstr>
      <vt:lpstr>SERVICIOS!Títulos_a_imprimir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CONSUELO ROMERO</dc:creator>
  <cp:lastModifiedBy>ANGEL CARRENO GONZALEZ</cp:lastModifiedBy>
  <cp:lastPrinted>2026-01-02T18:21:26Z</cp:lastPrinted>
  <dcterms:created xsi:type="dcterms:W3CDTF">2025-03-06T22:04:10Z</dcterms:created>
  <dcterms:modified xsi:type="dcterms:W3CDTF">2026-02-18T18:09:18Z</dcterms:modified>
</cp:coreProperties>
</file>